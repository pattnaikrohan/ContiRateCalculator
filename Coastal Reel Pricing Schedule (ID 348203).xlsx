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M:\AAW\ID2\4ED8A0D8-A339-4FE1-8CE6-A3C22936BFD3\0\348000-348999\348203\L\L\"/>
    </mc:Choice>
  </mc:AlternateContent>
  <xr:revisionPtr revIDLastSave="0" documentId="13_ncr:1_{B672ACC6-67CB-4168-BBE8-3DFFF37A598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" sheetId="7" r:id="rId1"/>
    <sheet name="2026 (NYK)" sheetId="8" r:id="rId2"/>
    <sheet name="2025" sheetId="6" r:id="rId3"/>
    <sheet name="2024" sheetId="1" r:id="rId4"/>
    <sheet name="2023" sheetId="5" r:id="rId5"/>
    <sheet name="2022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" i="8" l="1"/>
  <c r="J33" i="8" s="1"/>
  <c r="I32" i="8"/>
  <c r="J32" i="8" s="1"/>
  <c r="I31" i="8"/>
  <c r="J31" i="8" s="1"/>
  <c r="I30" i="8"/>
  <c r="J30" i="8" s="1"/>
  <c r="I29" i="8"/>
  <c r="J29" i="8" s="1"/>
  <c r="M28" i="8"/>
  <c r="I28" i="8"/>
  <c r="J28" i="8" s="1"/>
  <c r="I27" i="8"/>
  <c r="J27" i="8" s="1"/>
  <c r="I26" i="8"/>
  <c r="J26" i="8" s="1"/>
  <c r="I25" i="8"/>
  <c r="J25" i="8" s="1"/>
  <c r="I24" i="8"/>
  <c r="J24" i="8" s="1"/>
  <c r="I23" i="8"/>
  <c r="J23" i="8" s="1"/>
  <c r="I22" i="8"/>
  <c r="J22" i="8" s="1"/>
  <c r="I21" i="8"/>
  <c r="J21" i="8" s="1"/>
  <c r="I20" i="8"/>
  <c r="J20" i="8" s="1"/>
  <c r="I19" i="8"/>
  <c r="J19" i="8" s="1"/>
  <c r="I18" i="8"/>
  <c r="J18" i="8" s="1"/>
  <c r="I17" i="8"/>
  <c r="J17" i="8" s="1"/>
  <c r="I16" i="8"/>
  <c r="J16" i="8" s="1"/>
  <c r="I15" i="8"/>
  <c r="J15" i="8" s="1"/>
  <c r="I14" i="8"/>
  <c r="J14" i="8" s="1"/>
  <c r="I13" i="8"/>
  <c r="J13" i="8" s="1"/>
  <c r="I12" i="8"/>
  <c r="J12" i="8" s="1"/>
  <c r="I11" i="8"/>
  <c r="J11" i="8" s="1"/>
  <c r="I10" i="8"/>
  <c r="J10" i="8" s="1"/>
  <c r="I9" i="8"/>
  <c r="J9" i="8" s="1"/>
  <c r="I33" i="7"/>
  <c r="J33" i="7" s="1"/>
  <c r="I32" i="7"/>
  <c r="J32" i="7" s="1"/>
  <c r="I31" i="7"/>
  <c r="J31" i="7" s="1"/>
  <c r="I30" i="7"/>
  <c r="J30" i="7" s="1"/>
  <c r="I29" i="7"/>
  <c r="J29" i="7" s="1"/>
  <c r="M28" i="7"/>
  <c r="I28" i="7"/>
  <c r="J28" i="7" s="1"/>
  <c r="I27" i="7"/>
  <c r="J27" i="7" s="1"/>
  <c r="I26" i="7"/>
  <c r="J26" i="7" s="1"/>
  <c r="I25" i="7"/>
  <c r="J25" i="7" s="1"/>
  <c r="I24" i="7"/>
  <c r="J24" i="7" s="1"/>
  <c r="I23" i="7"/>
  <c r="J23" i="7" s="1"/>
  <c r="I22" i="7"/>
  <c r="J22" i="7" s="1"/>
  <c r="I21" i="7"/>
  <c r="J21" i="7" s="1"/>
  <c r="I20" i="7"/>
  <c r="J20" i="7" s="1"/>
  <c r="I19" i="7"/>
  <c r="J19" i="7" s="1"/>
  <c r="I18" i="7"/>
  <c r="J18" i="7" s="1"/>
  <c r="I17" i="7"/>
  <c r="J17" i="7" s="1"/>
  <c r="I16" i="7"/>
  <c r="J16" i="7" s="1"/>
  <c r="I15" i="7"/>
  <c r="J15" i="7" s="1"/>
  <c r="I14" i="7"/>
  <c r="J14" i="7" s="1"/>
  <c r="I13" i="7"/>
  <c r="J13" i="7" s="1"/>
  <c r="I12" i="7"/>
  <c r="J12" i="7" s="1"/>
  <c r="I11" i="7"/>
  <c r="J11" i="7" s="1"/>
  <c r="I10" i="7"/>
  <c r="J10" i="7" s="1"/>
  <c r="I9" i="7"/>
  <c r="J9" i="7" s="1"/>
  <c r="I9" i="6"/>
  <c r="J9" i="6" s="1"/>
  <c r="I10" i="6"/>
  <c r="J10" i="6" s="1"/>
  <c r="I11" i="6"/>
  <c r="J11" i="6" s="1"/>
  <c r="I12" i="6"/>
  <c r="J12" i="6" s="1"/>
  <c r="I13" i="6"/>
  <c r="J13" i="6" s="1"/>
  <c r="I14" i="6"/>
  <c r="J14" i="6" s="1"/>
  <c r="I15" i="6"/>
  <c r="J15" i="6" s="1"/>
  <c r="I16" i="6"/>
  <c r="J16" i="6" s="1"/>
  <c r="I17" i="6"/>
  <c r="J17" i="6" s="1"/>
  <c r="I18" i="6"/>
  <c r="J18" i="6" s="1"/>
  <c r="I19" i="6"/>
  <c r="J19" i="6" s="1"/>
  <c r="I20" i="6"/>
  <c r="J20" i="6" s="1"/>
  <c r="I21" i="6"/>
  <c r="J21" i="6" s="1"/>
  <c r="I22" i="6"/>
  <c r="J22" i="6" s="1"/>
  <c r="I23" i="6"/>
  <c r="J23" i="6" s="1"/>
  <c r="I24" i="6"/>
  <c r="J24" i="6"/>
  <c r="I25" i="6"/>
  <c r="J25" i="6" s="1"/>
  <c r="I26" i="6"/>
  <c r="J26" i="6" s="1"/>
  <c r="I27" i="6"/>
  <c r="J27" i="6" s="1"/>
  <c r="I28" i="6"/>
  <c r="J28" i="6" s="1"/>
  <c r="M28" i="6"/>
  <c r="I29" i="6"/>
  <c r="J29" i="6" s="1"/>
  <c r="I30" i="6"/>
  <c r="J30" i="6" s="1"/>
  <c r="I31" i="6"/>
  <c r="J31" i="6" s="1"/>
  <c r="I32" i="6"/>
  <c r="J32" i="6" s="1"/>
  <c r="I33" i="6"/>
  <c r="J33" i="6" s="1"/>
  <c r="O12" i="1"/>
  <c r="N12" i="1"/>
  <c r="M12" i="1"/>
  <c r="J12" i="1"/>
  <c r="I12" i="1"/>
  <c r="O11" i="1"/>
  <c r="N11" i="1"/>
  <c r="M11" i="1"/>
  <c r="I11" i="1"/>
  <c r="J11" i="1" s="1"/>
  <c r="O10" i="1"/>
  <c r="N10" i="1"/>
  <c r="M10" i="1"/>
  <c r="I10" i="1"/>
  <c r="J10" i="1" s="1"/>
  <c r="O32" i="1"/>
  <c r="O33" i="1"/>
  <c r="O31" i="1"/>
  <c r="O29" i="1"/>
  <c r="O30" i="1"/>
  <c r="O28" i="1"/>
  <c r="O23" i="1"/>
  <c r="O24" i="1"/>
  <c r="O25" i="1"/>
  <c r="O26" i="1"/>
  <c r="O27" i="1"/>
  <c r="O22" i="1"/>
  <c r="O19" i="1"/>
  <c r="O20" i="1"/>
  <c r="O21" i="1"/>
  <c r="O18" i="1"/>
  <c r="O14" i="1"/>
  <c r="O15" i="1"/>
  <c r="O16" i="1"/>
  <c r="O17" i="1"/>
  <c r="O13" i="1"/>
  <c r="O9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9" i="1"/>
  <c r="M30" i="1"/>
  <c r="I30" i="1"/>
  <c r="J30" i="1" s="1"/>
  <c r="M32" i="1"/>
  <c r="M33" i="1"/>
  <c r="M31" i="1"/>
  <c r="M29" i="1"/>
  <c r="M28" i="1"/>
  <c r="M23" i="1"/>
  <c r="M24" i="1"/>
  <c r="M25" i="1"/>
  <c r="M26" i="1"/>
  <c r="M27" i="1"/>
  <c r="M22" i="1"/>
  <c r="M19" i="1"/>
  <c r="M20" i="1"/>
  <c r="M21" i="1"/>
  <c r="M18" i="1"/>
  <c r="I9" i="1"/>
  <c r="N29" i="5" l="1"/>
  <c r="M29" i="5"/>
  <c r="I29" i="5"/>
  <c r="J29" i="5" s="1"/>
  <c r="N28" i="5"/>
  <c r="M28" i="5"/>
  <c r="I28" i="5"/>
  <c r="J28" i="5" s="1"/>
  <c r="N27" i="5"/>
  <c r="M27" i="5"/>
  <c r="J27" i="5"/>
  <c r="I27" i="5"/>
  <c r="N26" i="5"/>
  <c r="M26" i="5"/>
  <c r="I26" i="5"/>
  <c r="J26" i="5" s="1"/>
  <c r="N25" i="5"/>
  <c r="M25" i="5"/>
  <c r="I25" i="5"/>
  <c r="J25" i="5" s="1"/>
  <c r="N24" i="5"/>
  <c r="M24" i="5"/>
  <c r="J24" i="5"/>
  <c r="I24" i="5"/>
  <c r="N23" i="5"/>
  <c r="M23" i="5"/>
  <c r="I23" i="5"/>
  <c r="J23" i="5" s="1"/>
  <c r="N22" i="5"/>
  <c r="M22" i="5"/>
  <c r="I22" i="5"/>
  <c r="J22" i="5" s="1"/>
  <c r="N21" i="5"/>
  <c r="M21" i="5"/>
  <c r="J21" i="5"/>
  <c r="I21" i="5"/>
  <c r="N20" i="5"/>
  <c r="M20" i="5"/>
  <c r="I20" i="5"/>
  <c r="J20" i="5" s="1"/>
  <c r="N19" i="5"/>
  <c r="M19" i="5"/>
  <c r="I19" i="5"/>
  <c r="J19" i="5" s="1"/>
  <c r="N18" i="5"/>
  <c r="M18" i="5"/>
  <c r="J18" i="5"/>
  <c r="I18" i="5"/>
  <c r="N17" i="5"/>
  <c r="M17" i="5"/>
  <c r="I17" i="5"/>
  <c r="J17" i="5" s="1"/>
  <c r="N16" i="5"/>
  <c r="M16" i="5"/>
  <c r="I16" i="5"/>
  <c r="J16" i="5" s="1"/>
  <c r="N15" i="5"/>
  <c r="M15" i="5"/>
  <c r="J15" i="5"/>
  <c r="I15" i="5"/>
  <c r="N14" i="5"/>
  <c r="M14" i="5"/>
  <c r="I14" i="5"/>
  <c r="J14" i="5" s="1"/>
  <c r="N13" i="5"/>
  <c r="M13" i="5"/>
  <c r="I13" i="5"/>
  <c r="J13" i="5" s="1"/>
  <c r="N12" i="5"/>
  <c r="M12" i="5"/>
  <c r="J12" i="5"/>
  <c r="I12" i="5"/>
  <c r="N11" i="5"/>
  <c r="M11" i="5"/>
  <c r="I11" i="5"/>
  <c r="J11" i="5" s="1"/>
  <c r="N10" i="5"/>
  <c r="M10" i="5"/>
  <c r="I10" i="5"/>
  <c r="J10" i="5" s="1"/>
  <c r="N9" i="5"/>
  <c r="M9" i="5"/>
  <c r="J9" i="5"/>
  <c r="I9" i="5"/>
  <c r="I29" i="1"/>
  <c r="I16" i="1"/>
  <c r="N24" i="2"/>
  <c r="M24" i="2"/>
  <c r="I24" i="2"/>
  <c r="J24" i="2" s="1"/>
  <c r="N25" i="2"/>
  <c r="M25" i="2"/>
  <c r="I25" i="2"/>
  <c r="J25" i="2" s="1"/>
  <c r="I9" i="2"/>
  <c r="J9" i="2" s="1"/>
  <c r="M9" i="2"/>
  <c r="N9" i="2"/>
  <c r="I10" i="2"/>
  <c r="J10" i="2" s="1"/>
  <c r="M10" i="2"/>
  <c r="N10" i="2"/>
  <c r="I11" i="2"/>
  <c r="J11" i="2" s="1"/>
  <c r="M11" i="2"/>
  <c r="N11" i="2"/>
  <c r="I12" i="2"/>
  <c r="J12" i="2" s="1"/>
  <c r="M12" i="2"/>
  <c r="N12" i="2"/>
  <c r="I13" i="2"/>
  <c r="J13" i="2" s="1"/>
  <c r="M13" i="2"/>
  <c r="N13" i="2"/>
  <c r="I14" i="2"/>
  <c r="J14" i="2" s="1"/>
  <c r="M14" i="2"/>
  <c r="N14" i="2"/>
  <c r="I15" i="2"/>
  <c r="J15" i="2" s="1"/>
  <c r="M15" i="2"/>
  <c r="N15" i="2"/>
  <c r="I16" i="2"/>
  <c r="J16" i="2" s="1"/>
  <c r="M16" i="2"/>
  <c r="N16" i="2"/>
  <c r="I17" i="2"/>
  <c r="J17" i="2" s="1"/>
  <c r="M17" i="2"/>
  <c r="N17" i="2"/>
  <c r="I18" i="2"/>
  <c r="J18" i="2" s="1"/>
  <c r="M18" i="2"/>
  <c r="N18" i="2"/>
  <c r="I19" i="2"/>
  <c r="J19" i="2" s="1"/>
  <c r="M19" i="2"/>
  <c r="N19" i="2"/>
  <c r="I20" i="2"/>
  <c r="J20" i="2" s="1"/>
  <c r="M20" i="2"/>
  <c r="N20" i="2"/>
  <c r="I21" i="2"/>
  <c r="J21" i="2" s="1"/>
  <c r="M21" i="2"/>
  <c r="N21" i="2"/>
  <c r="I22" i="2"/>
  <c r="J22" i="2"/>
  <c r="M22" i="2"/>
  <c r="N22" i="2"/>
  <c r="I23" i="2"/>
  <c r="J23" i="2" s="1"/>
  <c r="M23" i="2"/>
  <c r="N23" i="2"/>
  <c r="I26" i="2"/>
  <c r="J26" i="2" s="1"/>
  <c r="M26" i="2"/>
  <c r="N26" i="2"/>
  <c r="I27" i="2"/>
  <c r="J27" i="2" s="1"/>
  <c r="M27" i="2"/>
  <c r="N27" i="2"/>
  <c r="I28" i="2"/>
  <c r="J28" i="2"/>
  <c r="M28" i="2"/>
  <c r="N28" i="2"/>
  <c r="I29" i="2"/>
  <c r="J29" i="2" s="1"/>
  <c r="M29" i="2"/>
  <c r="N29" i="2"/>
  <c r="I28" i="1" l="1"/>
  <c r="J28" i="1" s="1"/>
  <c r="M13" i="1"/>
  <c r="M14" i="1"/>
  <c r="M15" i="1"/>
  <c r="M16" i="1"/>
  <c r="M17" i="1"/>
  <c r="M9" i="1"/>
  <c r="I27" i="1"/>
  <c r="J27" i="1" s="1"/>
  <c r="I18" i="1"/>
  <c r="I19" i="1"/>
  <c r="J29" i="1" l="1"/>
  <c r="I13" i="1" l="1"/>
  <c r="J13" i="1" s="1"/>
  <c r="I14" i="1"/>
  <c r="J14" i="1" s="1"/>
  <c r="I15" i="1"/>
  <c r="J15" i="1" s="1"/>
  <c r="J16" i="1"/>
  <c r="I17" i="1"/>
  <c r="J19" i="1"/>
  <c r="I20" i="1"/>
  <c r="I21" i="1"/>
  <c r="I22" i="1"/>
  <c r="I23" i="1"/>
  <c r="J23" i="1" s="1"/>
  <c r="I24" i="1"/>
  <c r="J24" i="1" s="1"/>
  <c r="I25" i="1"/>
  <c r="I26" i="1"/>
  <c r="I31" i="1"/>
  <c r="J31" i="1" s="1"/>
  <c r="I32" i="1"/>
  <c r="I33" i="1"/>
  <c r="J18" i="1" l="1"/>
  <c r="J26" i="1"/>
  <c r="J25" i="1"/>
  <c r="J17" i="1"/>
  <c r="J22" i="1"/>
  <c r="J33" i="1"/>
  <c r="J21" i="1"/>
  <c r="J9" i="1"/>
  <c r="J32" i="1"/>
  <c r="J20" i="1"/>
</calcChain>
</file>

<file path=xl/sharedStrings.xml><?xml version="1.0" encoding="utf-8"?>
<sst xmlns="http://schemas.openxmlformats.org/spreadsheetml/2006/main" count="589" uniqueCount="136">
  <si>
    <t>Freight</t>
  </si>
  <si>
    <t>Forkable</t>
  </si>
  <si>
    <t>Offer basis loading 2 units per Mafi trailer</t>
  </si>
  <si>
    <t>Doc Fee A$150 per shipment</t>
  </si>
  <si>
    <t>Subject to fluctuation in BAF, Coastal Surcharge &amp; Local charges</t>
  </si>
  <si>
    <t>BAF</t>
  </si>
  <si>
    <t>Coastal SC</t>
  </si>
  <si>
    <t>Port Charge</t>
  </si>
  <si>
    <t>Combined Rate</t>
  </si>
  <si>
    <t>Origin Cartage</t>
  </si>
  <si>
    <t>SEAFREIGHT</t>
  </si>
  <si>
    <t>Origin Lift Pricing</t>
  </si>
  <si>
    <t>TRANSPORT</t>
  </si>
  <si>
    <t>Total Seafreight</t>
  </si>
  <si>
    <t>Hazelmere (5hrs)</t>
  </si>
  <si>
    <t>Bullsbrook (7hrs)</t>
  </si>
  <si>
    <t>1hr load unload, thereafter hourly rate applies</t>
  </si>
  <si>
    <t>MELBOURNE TRANSPORT</t>
  </si>
  <si>
    <t>Melbourne Transport</t>
  </si>
  <si>
    <t xml:space="preserve"> Terms &amp; Conditions</t>
  </si>
  <si>
    <t>Perth Transport</t>
  </si>
  <si>
    <t xml:space="preserve">Hourly rate charged after indicated rates. </t>
  </si>
  <si>
    <t>Rates are depot to depot basis</t>
  </si>
  <si>
    <t>5hrs allowed for Hazelmere &amp; 7hrs allowed for Bullsbrook</t>
  </si>
  <si>
    <t xml:space="preserve">Crane Rates </t>
  </si>
  <si>
    <t xml:space="preserve">Use of crane is determined by Stevedores in Melbourne &amp; Fremantle. </t>
  </si>
  <si>
    <t>10% GST Applied where applicable</t>
  </si>
  <si>
    <t>Melbourne has Fork capacity to approx 31T, subject to dimensions of the Reel</t>
  </si>
  <si>
    <t>Fremantle crane rates basis vessel discharge @ Berth 11 &amp; 12</t>
  </si>
  <si>
    <t>PERTH CRANE</t>
  </si>
  <si>
    <t>MELBOURNE CRANE</t>
  </si>
  <si>
    <t>Seafreight</t>
  </si>
  <si>
    <t>Western Power Permit applicable for Reels above 360cm in Height</t>
  </si>
  <si>
    <t>Calculated basis the total FRT per reel, weight or cbm whichever is greater</t>
  </si>
  <si>
    <t>All work taken places is performed under AAW Global Logistics Pty Ltd general terms &amp; consitions, available upon request</t>
  </si>
  <si>
    <t xml:space="preserve">Max Loaded height (in general) ex Fremantle is 5.8m High, includes 1m for trailer. </t>
  </si>
  <si>
    <t xml:space="preserve">TRANSPORT ex Fremantle Port direct to mine site gate - 5hrs allowed across Port &amp; Mine Site there after demurrage applies, see conditions below left. </t>
  </si>
  <si>
    <t>Western Power Permit $400</t>
  </si>
  <si>
    <t>Crane Required 
Daily rates
1st Lift $1725
2nd Lift A$875
add Lifts A$550 each</t>
  </si>
  <si>
    <t xml:space="preserve">Fremantle port crane is subject to availability, if unavailable Mobile crane will be required. </t>
  </si>
  <si>
    <t>Crane Required as determined &amp; provided by QUBE Stevedore
$1500 per 4hr slot
subject to availability</t>
  </si>
  <si>
    <t>Pilot Vehicle applies to all Reels over 3.6m High</t>
  </si>
  <si>
    <t>Port Booking Fee A$20 per Reel</t>
  </si>
  <si>
    <t>POA</t>
  </si>
  <si>
    <t>Yandi (1390kms)</t>
  </si>
  <si>
    <t>Area C         (1360 kms)</t>
  </si>
  <si>
    <t>Cloudbreak (1400 kms)</t>
  </si>
  <si>
    <t>South Flank (1365 kms)</t>
  </si>
  <si>
    <t>Christmas Creek           (1374 kms)</t>
  </si>
  <si>
    <t>Tom Price (1510 kms)</t>
  </si>
  <si>
    <t>Solomon    (1550 Kms)</t>
  </si>
  <si>
    <t>Jimblebar (1270 Kms)</t>
  </si>
  <si>
    <t>Mt Whaleback (1230 Kms)</t>
  </si>
  <si>
    <t>Eliwana      (1630 kms</t>
  </si>
  <si>
    <t>West Angeles (1357 kms)</t>
  </si>
  <si>
    <t>Anderson Point              (1670 kms)</t>
  </si>
  <si>
    <t>Demurrage Rate</t>
  </si>
  <si>
    <r>
      <t xml:space="preserve">COASTAL REEL PRICING SCHEDULE
</t>
    </r>
    <r>
      <rPr>
        <i/>
        <sz val="14"/>
        <color theme="1"/>
        <rFont val="Calibri"/>
        <family val="2"/>
        <scheme val="minor"/>
      </rPr>
      <t xml:space="preserve">Rates valid from 01/01/2023 - 31/12/23
</t>
    </r>
  </si>
  <si>
    <t>Where only 1 Reel is loaded rate will be $150 per w/m or Mafi min of A$6000</t>
  </si>
  <si>
    <t>Subject to available equipment</t>
  </si>
  <si>
    <t>WWL have contracted space for 500FRT per month</t>
  </si>
  <si>
    <t>Subject to vessel schedule</t>
  </si>
  <si>
    <t>Deliveries to mine site allow 5hrs across Port &amp; Mine site</t>
  </si>
  <si>
    <t>Mine Site deliveries time starts from gate entry</t>
  </si>
  <si>
    <t>Melbourne &amp; Fremantle Crane rates reviewed by terminal operator June 30th or as required</t>
  </si>
  <si>
    <t>Transport trailers subject to availability</t>
  </si>
  <si>
    <t>Terminal storage to be charged when wharf slots, cranes or transport equipment are not available</t>
  </si>
  <si>
    <t>Mine Site Deliveries</t>
  </si>
  <si>
    <t>Destination Lift Pricing</t>
  </si>
  <si>
    <t>Pilot Vehicles apply @ 34T - 52T between 0100 - 0600hrs, A$300 per Reel</t>
  </si>
  <si>
    <t>Pilot Vehicles apply @  52T+ At all times A$300 per Reel</t>
  </si>
  <si>
    <t>Weight (T)</t>
  </si>
  <si>
    <t>Freight Tonne
(FRT)</t>
  </si>
  <si>
    <t>5hrs allowed across Port &amp; Mine Site there after demurrage applies</t>
  </si>
  <si>
    <t>48T - 59T            A$300 per hr</t>
  </si>
  <si>
    <t>24T - 48T             A$240 per hr</t>
  </si>
  <si>
    <t>Demurrage direct to Mine Site</t>
  </si>
  <si>
    <t>29% Fuel Surcharge is applicable, Sept 1st 2022</t>
  </si>
  <si>
    <t>subject to vessel schedule</t>
  </si>
  <si>
    <t xml:space="preserve">Where only 1 Reel is loaded rate will be $132 per w/m or Mafi min of A$5280 </t>
  </si>
  <si>
    <t>Pilot Vehicles apply @  52T+ At all times A$225 per Reel</t>
  </si>
  <si>
    <t>Pilot Vehicles apply @ 34T - 52T between 0100 - 0600hrs, A$225 per Reel</t>
  </si>
  <si>
    <t>29% Fuel Surcharge applied to all Transport in Western Australia, effective September 1st</t>
  </si>
  <si>
    <t>Reels upto 22T above 3.4m in Height will travel as dedicated single trailers add $2950 per Reel ($3500 - Andersons point)</t>
  </si>
  <si>
    <t xml:space="preserve">Reels up to 22T &amp; under 3.4m High can be loaded in Road train configuration at below rates. 
</t>
  </si>
  <si>
    <t>Anderson Point</t>
  </si>
  <si>
    <t>West Angelas</t>
  </si>
  <si>
    <t>Eliwana</t>
  </si>
  <si>
    <t>Mt Whaleback</t>
  </si>
  <si>
    <t>Jimblebar</t>
  </si>
  <si>
    <t>Solomon</t>
  </si>
  <si>
    <t>Tom Price</t>
  </si>
  <si>
    <t>Christmas Creek</t>
  </si>
  <si>
    <t>South Flank</t>
  </si>
  <si>
    <t>Cloudbreak</t>
  </si>
  <si>
    <t>Area C</t>
  </si>
  <si>
    <t>Yandi</t>
  </si>
  <si>
    <t>Weight kg each</t>
  </si>
  <si>
    <t>4hr</t>
  </si>
  <si>
    <t>FRT 
(cbm or weight)</t>
  </si>
  <si>
    <t>TRANSPORT + 29% FUEL</t>
  </si>
  <si>
    <r>
      <t xml:space="preserve">COASTAL REEL PRICING SCHEDULE
</t>
    </r>
    <r>
      <rPr>
        <i/>
        <sz val="14"/>
        <color theme="1"/>
        <rFont val="Calibri"/>
        <family val="2"/>
        <scheme val="minor"/>
      </rPr>
      <t>Rates valid from 01/01/2022 - 31/12/22
Revised 14/09/22</t>
    </r>
  </si>
  <si>
    <t>25% Fuel Surcharge is applicable, reviewed monthly</t>
  </si>
  <si>
    <t>25% Fuel Surcharge applied to all Transport in Western Australia</t>
  </si>
  <si>
    <r>
      <t xml:space="preserve">COASTAL REEL PRICING SCHEDULE
</t>
    </r>
    <r>
      <rPr>
        <i/>
        <sz val="14"/>
        <color theme="1"/>
        <rFont val="Calibri"/>
        <family val="2"/>
        <scheme val="minor"/>
      </rPr>
      <t xml:space="preserve">Rates valid from 01/01/2024 - 31/12/24
</t>
    </r>
  </si>
  <si>
    <t>Pilot Vehicles apply @  52T+ At all times A$380 per Reel</t>
  </si>
  <si>
    <t>Pilot Vehicles apply @ 34T - 52T between 0100 - 0600hrs, A$380 per Reel</t>
  </si>
  <si>
    <t>Huntley (9hrs)</t>
  </si>
  <si>
    <t>Port Booking Fee A$35 per Reel</t>
  </si>
  <si>
    <t xml:space="preserve">Port Crane
$500 per hour
4hr Minimum
</t>
  </si>
  <si>
    <t>Port Crane
$700 per hour
4hr Minimum</t>
  </si>
  <si>
    <t>23% Fuel Surcharge is applicable, reviewed monthly</t>
  </si>
  <si>
    <t>Doc Fee A$60 per Bill of lading</t>
  </si>
  <si>
    <t>23% Fuel Surcharge applied to all Transport in Western Australia</t>
  </si>
  <si>
    <t>Boddington / Huntley (9hrs)</t>
  </si>
  <si>
    <t>Pilot Vehicles apply @ 34T - 52T between 0100 - 0600hrs, A$400 per Reel</t>
  </si>
  <si>
    <t xml:space="preserve">Transport rates provided basis Hi Haul Transport pty ltd. </t>
  </si>
  <si>
    <t>Reels over 22T with other transport providers will incur additional charges</t>
  </si>
  <si>
    <t>Patlins</t>
  </si>
  <si>
    <t>Surcharge</t>
  </si>
  <si>
    <t>32 - 38T</t>
  </si>
  <si>
    <t>38 - 44T</t>
  </si>
  <si>
    <t>44 - 50T</t>
  </si>
  <si>
    <t>22 - 32T</t>
  </si>
  <si>
    <t>Crane Required 
Daily rates
1st Lift $3575
2nd Lift A$1450
add Lifts A$900 each</t>
  </si>
  <si>
    <r>
      <t xml:space="preserve">COASTAL REEL PRICING SCHEDULE
</t>
    </r>
    <r>
      <rPr>
        <i/>
        <sz val="14"/>
        <color theme="1"/>
        <rFont val="Calibri"/>
        <family val="2"/>
        <scheme val="minor"/>
      </rPr>
      <t xml:space="preserve">Rates valid from 01/01/2025 - 31/12/25
</t>
    </r>
  </si>
  <si>
    <t>Hazelmere / Kenwick / Welshpool (5hrs)</t>
  </si>
  <si>
    <t>5hrs free demurrage</t>
  </si>
  <si>
    <t>Port Booking Fee A$50 per Reel</t>
  </si>
  <si>
    <t>3rd Party crane providers are supplied at cost + 10%</t>
  </si>
  <si>
    <r>
      <t xml:space="preserve">COASTAL REEL PRICING SCHEDULE
</t>
    </r>
    <r>
      <rPr>
        <i/>
        <sz val="14"/>
        <color theme="1"/>
        <rFont val="Calibri"/>
        <family val="2"/>
        <scheme val="minor"/>
      </rPr>
      <t xml:space="preserve">Rates valid from 01/11/2026 - 31/12/26
</t>
    </r>
  </si>
  <si>
    <t>Lashing Fee USD400 per Mafi</t>
  </si>
  <si>
    <t>40' Mafi A$7500</t>
  </si>
  <si>
    <t>62' Mafi A$11000</t>
  </si>
  <si>
    <t>Mafi Minimums on Freight component ONLY</t>
  </si>
  <si>
    <r>
      <t>3rd Party Crane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Cost + 10%, 
approx $850 per hr, min 4hrs
</t>
    </r>
    <r>
      <rPr>
        <b/>
        <sz val="11"/>
        <color theme="1"/>
        <rFont val="Calibri"/>
        <family val="2"/>
        <scheme val="minor"/>
      </rPr>
      <t>Stevedore Labour</t>
    </r>
    <r>
      <rPr>
        <sz val="11"/>
        <color theme="1"/>
        <rFont val="Calibri"/>
        <family val="2"/>
        <scheme val="minor"/>
      </rPr>
      <t xml:space="preserve"> 
$4250 per 4hrs. Min 8hrs unless shared with other users on the day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</si>
</sst>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sz val="8"/>
      <color rgb="FF000000"/>
      <name val="Arial Rounded MT Bold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24"/>
      <color theme="1"/>
      <name val="Calibri"/>
      <family val="2"/>
      <scheme val="minor"/>
    </font>
    <font>
      <sz val="11"/>
      <color theme="1"/>
      <name val="Arial Rounded MT Bold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8">
    <xf numFmtId="0" fontId="0" fillId="0" borderId="0" xfId="0"/>
    <xf numFmtId="0" fontId="0" fillId="0" borderId="0" xfId="0" applyAlignment="1">
      <alignment vertical="center"/>
    </xf>
    <xf numFmtId="44" fontId="0" fillId="0" borderId="0" xfId="1" applyFont="1" applyFill="1" applyBorder="1"/>
    <xf numFmtId="44" fontId="2" fillId="0" borderId="0" xfId="1" applyFont="1" applyFill="1" applyBorder="1"/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44" fontId="0" fillId="0" borderId="11" xfId="1" applyFont="1" applyBorder="1"/>
    <xf numFmtId="44" fontId="0" fillId="0" borderId="22" xfId="1" applyFont="1" applyBorder="1"/>
    <xf numFmtId="44" fontId="0" fillId="0" borderId="15" xfId="1" applyFont="1" applyBorder="1"/>
    <xf numFmtId="0" fontId="4" fillId="2" borderId="20" xfId="0" applyFont="1" applyFill="1" applyBorder="1" applyAlignment="1">
      <alignment horizontal="center" vertical="center" wrapText="1"/>
    </xf>
    <xf numFmtId="44" fontId="0" fillId="2" borderId="27" xfId="1" applyFont="1" applyFill="1" applyBorder="1"/>
    <xf numFmtId="44" fontId="0" fillId="2" borderId="18" xfId="1" applyFont="1" applyFill="1" applyBorder="1"/>
    <xf numFmtId="44" fontId="0" fillId="2" borderId="19" xfId="1" applyFont="1" applyFill="1" applyBorder="1"/>
    <xf numFmtId="0" fontId="2" fillId="0" borderId="9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44" fontId="0" fillId="0" borderId="0" xfId="1" applyFont="1" applyFill="1" applyBorder="1" applyAlignment="1">
      <alignment horizontal="center" vertical="center" wrapText="1"/>
    </xf>
    <xf numFmtId="44" fontId="0" fillId="0" borderId="0" xfId="1" applyFont="1" applyFill="1" applyBorder="1" applyAlignment="1">
      <alignment horizontal="center"/>
    </xf>
    <xf numFmtId="44" fontId="0" fillId="0" borderId="0" xfId="1" applyFont="1" applyFill="1" applyBorder="1" applyAlignment="1"/>
    <xf numFmtId="0" fontId="0" fillId="0" borderId="0" xfId="0" applyAlignment="1">
      <alignment horizontal="center"/>
    </xf>
    <xf numFmtId="44" fontId="0" fillId="0" borderId="23" xfId="1" applyFont="1" applyBorder="1"/>
    <xf numFmtId="44" fontId="0" fillId="0" borderId="13" xfId="1" applyFont="1" applyBorder="1"/>
    <xf numFmtId="44" fontId="0" fillId="0" borderId="16" xfId="1" applyFont="1" applyBorder="1"/>
    <xf numFmtId="44" fontId="0" fillId="0" borderId="31" xfId="1" applyFont="1" applyBorder="1"/>
    <xf numFmtId="44" fontId="0" fillId="0" borderId="27" xfId="1" applyFont="1" applyBorder="1" applyAlignment="1">
      <alignment horizontal="center"/>
    </xf>
    <xf numFmtId="44" fontId="0" fillId="0" borderId="18" xfId="1" applyFont="1" applyBorder="1" applyAlignment="1">
      <alignment horizontal="center"/>
    </xf>
    <xf numFmtId="44" fontId="0" fillId="2" borderId="24" xfId="1" applyFont="1" applyFill="1" applyBorder="1"/>
    <xf numFmtId="44" fontId="0" fillId="2" borderId="25" xfId="1" applyFont="1" applyFill="1" applyBorder="1"/>
    <xf numFmtId="44" fontId="0" fillId="2" borderId="26" xfId="1" applyFont="1" applyFill="1" applyBorder="1"/>
    <xf numFmtId="0" fontId="2" fillId="0" borderId="2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left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44" fontId="0" fillId="2" borderId="21" xfId="1" applyFont="1" applyFill="1" applyBorder="1" applyAlignment="1">
      <alignment horizontal="center" vertical="center" wrapText="1"/>
    </xf>
    <xf numFmtId="44" fontId="0" fillId="2" borderId="23" xfId="1" applyFont="1" applyFill="1" applyBorder="1" applyAlignment="1">
      <alignment horizontal="center" vertical="center" wrapText="1"/>
    </xf>
    <xf numFmtId="44" fontId="0" fillId="2" borderId="12" xfId="1" applyFont="1" applyFill="1" applyBorder="1" applyAlignment="1">
      <alignment horizontal="center" vertical="center" wrapText="1"/>
    </xf>
    <xf numFmtId="44" fontId="0" fillId="2" borderId="13" xfId="1" applyFont="1" applyFill="1" applyBorder="1" applyAlignment="1">
      <alignment horizontal="center" vertical="center" wrapText="1"/>
    </xf>
    <xf numFmtId="44" fontId="0" fillId="2" borderId="14" xfId="1" applyFont="1" applyFill="1" applyBorder="1" applyAlignment="1">
      <alignment horizontal="center" vertical="center" wrapText="1"/>
    </xf>
    <xf numFmtId="44" fontId="0" fillId="2" borderId="16" xfId="1" applyFont="1" applyFill="1" applyBorder="1" applyAlignment="1">
      <alignment horizontal="center" vertical="center" wrapText="1"/>
    </xf>
    <xf numFmtId="44" fontId="0" fillId="0" borderId="40" xfId="1" applyFont="1" applyBorder="1"/>
    <xf numFmtId="44" fontId="0" fillId="0" borderId="41" xfId="1" applyFont="1" applyBorder="1"/>
    <xf numFmtId="44" fontId="0" fillId="0" borderId="42" xfId="1" applyFont="1" applyBorder="1"/>
    <xf numFmtId="0" fontId="2" fillId="3" borderId="17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left"/>
    </xf>
    <xf numFmtId="8" fontId="0" fillId="0" borderId="47" xfId="1" applyNumberFormat="1" applyFont="1" applyFill="1" applyBorder="1" applyAlignment="1">
      <alignment horizontal="center"/>
    </xf>
    <xf numFmtId="8" fontId="10" fillId="0" borderId="48" xfId="1" applyNumberFormat="1" applyFont="1" applyFill="1" applyBorder="1" applyAlignment="1">
      <alignment horizontal="center" vertical="center" wrapText="1"/>
    </xf>
    <xf numFmtId="8" fontId="0" fillId="0" borderId="49" xfId="1" applyNumberFormat="1" applyFont="1" applyFill="1" applyBorder="1" applyAlignment="1">
      <alignment horizontal="center"/>
    </xf>
    <xf numFmtId="8" fontId="10" fillId="0" borderId="49" xfId="1" applyNumberFormat="1" applyFont="1" applyFill="1" applyBorder="1" applyAlignment="1">
      <alignment horizontal="center" vertical="center" wrapText="1"/>
    </xf>
    <xf numFmtId="44" fontId="0" fillId="2" borderId="50" xfId="1" applyFont="1" applyFill="1" applyBorder="1" applyAlignment="1">
      <alignment horizontal="center" vertical="center" wrapText="1"/>
    </xf>
    <xf numFmtId="44" fontId="0" fillId="2" borderId="49" xfId="1" applyFont="1" applyFill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44" fontId="0" fillId="2" borderId="16" xfId="1" applyFont="1" applyFill="1" applyBorder="1"/>
    <xf numFmtId="8" fontId="0" fillId="0" borderId="13" xfId="1" applyNumberFormat="1" applyFont="1" applyFill="1" applyBorder="1" applyAlignment="1">
      <alignment horizontal="center"/>
    </xf>
    <xf numFmtId="8" fontId="10" fillId="0" borderId="12" xfId="1" applyNumberFormat="1" applyFont="1" applyFill="1" applyBorder="1" applyAlignment="1">
      <alignment horizontal="center" vertical="center" wrapText="1"/>
    </xf>
    <xf numFmtId="8" fontId="0" fillId="0" borderId="11" xfId="1" applyNumberFormat="1" applyFont="1" applyFill="1" applyBorder="1" applyAlignment="1">
      <alignment horizontal="center"/>
    </xf>
    <xf numFmtId="8" fontId="10" fillId="0" borderId="11" xfId="1" applyNumberFormat="1" applyFont="1" applyFill="1" applyBorder="1" applyAlignment="1">
      <alignment horizontal="center" vertical="center" wrapText="1"/>
    </xf>
    <xf numFmtId="44" fontId="0" fillId="2" borderId="51" xfId="1" applyFont="1" applyFill="1" applyBorder="1" applyAlignment="1">
      <alignment horizontal="center" vertical="center" wrapText="1"/>
    </xf>
    <xf numFmtId="44" fontId="0" fillId="2" borderId="11" xfId="1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44" fontId="0" fillId="2" borderId="13" xfId="1" applyFont="1" applyFill="1" applyBorder="1"/>
    <xf numFmtId="0" fontId="7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4" fontId="0" fillId="0" borderId="25" xfId="1" applyFont="1" applyBorder="1" applyAlignment="1">
      <alignment horizontal="center"/>
    </xf>
    <xf numFmtId="44" fontId="0" fillId="2" borderId="11" xfId="1" applyFont="1" applyFill="1" applyBorder="1"/>
    <xf numFmtId="8" fontId="0" fillId="0" borderId="43" xfId="1" applyNumberFormat="1" applyFont="1" applyFill="1" applyBorder="1" applyAlignment="1">
      <alignment horizontal="center"/>
    </xf>
    <xf numFmtId="8" fontId="10" fillId="0" borderId="45" xfId="1" applyNumberFormat="1" applyFont="1" applyFill="1" applyBorder="1" applyAlignment="1">
      <alignment horizontal="center" vertical="center" wrapText="1"/>
    </xf>
    <xf numFmtId="8" fontId="0" fillId="0" borderId="44" xfId="1" applyNumberFormat="1" applyFont="1" applyFill="1" applyBorder="1" applyAlignment="1">
      <alignment horizontal="center"/>
    </xf>
    <xf numFmtId="8" fontId="10" fillId="0" borderId="44" xfId="1" applyNumberFormat="1" applyFont="1" applyFill="1" applyBorder="1" applyAlignment="1">
      <alignment horizontal="center" vertical="center" wrapText="1"/>
    </xf>
    <xf numFmtId="44" fontId="0" fillId="2" borderId="52" xfId="1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44" fontId="0" fillId="0" borderId="24" xfId="1" applyFont="1" applyBorder="1" applyAlignment="1">
      <alignment horizontal="center"/>
    </xf>
    <xf numFmtId="0" fontId="15" fillId="3" borderId="28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2" borderId="53" xfId="0" applyFont="1" applyFill="1" applyBorder="1" applyAlignment="1">
      <alignment horizontal="center" vertical="center" wrapText="1"/>
    </xf>
    <xf numFmtId="0" fontId="4" fillId="2" borderId="54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2" borderId="20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4" fontId="0" fillId="2" borderId="18" xfId="1" applyFont="1" applyFill="1" applyBorder="1" applyAlignment="1">
      <alignment horizontal="center" vertical="center" wrapText="1"/>
    </xf>
    <xf numFmtId="44" fontId="0" fillId="2" borderId="19" xfId="1" applyFont="1" applyFill="1" applyBorder="1" applyAlignment="1">
      <alignment horizontal="center" vertical="center" wrapText="1"/>
    </xf>
    <xf numFmtId="44" fontId="0" fillId="2" borderId="25" xfId="1" applyFont="1" applyFill="1" applyBorder="1" applyAlignment="1">
      <alignment horizontal="center" vertical="center" wrapText="1"/>
    </xf>
    <xf numFmtId="44" fontId="0" fillId="2" borderId="27" xfId="1" applyFont="1" applyFill="1" applyBorder="1" applyAlignment="1">
      <alignment horizontal="center" vertical="center" wrapText="1"/>
    </xf>
    <xf numFmtId="44" fontId="0" fillId="2" borderId="24" xfId="1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4" fontId="10" fillId="0" borderId="11" xfId="1" applyFont="1" applyFill="1" applyBorder="1" applyAlignment="1">
      <alignment vertical="center" wrapText="1"/>
    </xf>
    <xf numFmtId="44" fontId="10" fillId="0" borderId="12" xfId="1" applyFont="1" applyFill="1" applyBorder="1" applyAlignment="1">
      <alignment vertical="center" wrapText="1"/>
    </xf>
    <xf numFmtId="44" fontId="10" fillId="0" borderId="51" xfId="1" applyFont="1" applyFill="1" applyBorder="1" applyAlignment="1">
      <alignment vertical="center" wrapText="1"/>
    </xf>
    <xf numFmtId="44" fontId="10" fillId="2" borderId="18" xfId="1" applyFont="1" applyFill="1" applyBorder="1" applyAlignment="1">
      <alignment vertical="center" wrapText="1"/>
    </xf>
    <xf numFmtId="44" fontId="6" fillId="0" borderId="0" xfId="1" applyFont="1" applyAlignment="1">
      <alignment horizontal="left"/>
    </xf>
    <xf numFmtId="44" fontId="1" fillId="0" borderId="0" xfId="1" applyFont="1"/>
    <xf numFmtId="0" fontId="5" fillId="0" borderId="0" xfId="0" applyFont="1" applyAlignment="1">
      <alignment horizontal="center"/>
    </xf>
    <xf numFmtId="44" fontId="0" fillId="0" borderId="11" xfId="1" applyFont="1" applyBorder="1" applyAlignment="1">
      <alignment vertical="center" wrapText="1"/>
    </xf>
    <xf numFmtId="44" fontId="0" fillId="0" borderId="22" xfId="1" applyFont="1" applyBorder="1" applyAlignment="1">
      <alignment vertical="center" wrapText="1"/>
    </xf>
    <xf numFmtId="44" fontId="0" fillId="2" borderId="27" xfId="1" applyFont="1" applyFill="1" applyBorder="1" applyAlignment="1">
      <alignment vertical="center" wrapText="1"/>
    </xf>
    <xf numFmtId="44" fontId="0" fillId="2" borderId="33" xfId="1" applyFont="1" applyFill="1" applyBorder="1" applyAlignment="1">
      <alignment vertical="center" wrapText="1"/>
    </xf>
    <xf numFmtId="44" fontId="10" fillId="0" borderId="15" xfId="1" applyFont="1" applyFill="1" applyBorder="1" applyAlignment="1">
      <alignment vertical="center" wrapText="1"/>
    </xf>
    <xf numFmtId="44" fontId="10" fillId="2" borderId="19" xfId="1" applyFont="1" applyFill="1" applyBorder="1" applyAlignment="1">
      <alignment vertical="center" wrapText="1"/>
    </xf>
    <xf numFmtId="44" fontId="0" fillId="0" borderId="21" xfId="1" applyFont="1" applyBorder="1" applyAlignment="1">
      <alignment vertical="center" wrapText="1"/>
    </xf>
    <xf numFmtId="44" fontId="0" fillId="0" borderId="23" xfId="1" applyFont="1" applyBorder="1" applyAlignment="1">
      <alignment vertical="center" wrapText="1"/>
    </xf>
    <xf numFmtId="44" fontId="0" fillId="0" borderId="12" xfId="1" applyFont="1" applyBorder="1" applyAlignment="1">
      <alignment vertical="center" wrapText="1"/>
    </xf>
    <xf numFmtId="44" fontId="0" fillId="0" borderId="43" xfId="1" applyFont="1" applyBorder="1" applyAlignment="1">
      <alignment vertical="center" wrapText="1"/>
    </xf>
    <xf numFmtId="44" fontId="10" fillId="0" borderId="13" xfId="1" applyFont="1" applyFill="1" applyBorder="1" applyAlignment="1">
      <alignment vertical="center" wrapText="1"/>
    </xf>
    <xf numFmtId="44" fontId="10" fillId="0" borderId="14" xfId="1" applyFont="1" applyFill="1" applyBorder="1" applyAlignment="1">
      <alignment vertical="center" wrapText="1"/>
    </xf>
    <xf numFmtId="44" fontId="10" fillId="0" borderId="16" xfId="1" applyFont="1" applyFill="1" applyBorder="1" applyAlignment="1">
      <alignment vertical="center" wrapText="1"/>
    </xf>
    <xf numFmtId="44" fontId="0" fillId="0" borderId="21" xfId="1" applyFont="1" applyBorder="1"/>
    <xf numFmtId="44" fontId="0" fillId="0" borderId="12" xfId="1" applyFont="1" applyBorder="1"/>
    <xf numFmtId="44" fontId="0" fillId="0" borderId="14" xfId="1" applyFont="1" applyBorder="1"/>
    <xf numFmtId="44" fontId="0" fillId="2" borderId="18" xfId="1" applyFont="1" applyFill="1" applyBorder="1" applyAlignment="1">
      <alignment horizontal="center" vertical="center" wrapText="1"/>
    </xf>
    <xf numFmtId="44" fontId="0" fillId="2" borderId="19" xfId="1" applyFont="1" applyFill="1" applyBorder="1" applyAlignment="1">
      <alignment horizontal="center" vertical="center" wrapText="1"/>
    </xf>
    <xf numFmtId="44" fontId="0" fillId="2" borderId="20" xfId="1" applyFont="1" applyFill="1" applyBorder="1" applyAlignment="1">
      <alignment horizontal="center" vertical="center" wrapText="1"/>
    </xf>
    <xf numFmtId="44" fontId="0" fillId="2" borderId="32" xfId="1" applyFont="1" applyFill="1" applyBorder="1" applyAlignment="1">
      <alignment horizontal="center" vertical="center" wrapText="1"/>
    </xf>
    <xf numFmtId="44" fontId="0" fillId="2" borderId="34" xfId="1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/>
    </xf>
    <xf numFmtId="0" fontId="11" fillId="3" borderId="10" xfId="0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11" fillId="3" borderId="8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44" fontId="10" fillId="2" borderId="18" xfId="1" applyFont="1" applyFill="1" applyBorder="1" applyAlignment="1">
      <alignment horizontal="center" vertical="center" wrapText="1"/>
    </xf>
    <xf numFmtId="44" fontId="10" fillId="0" borderId="11" xfId="1" applyFont="1" applyFill="1" applyBorder="1" applyAlignment="1">
      <alignment horizontal="center" vertical="center" wrapText="1"/>
    </xf>
    <xf numFmtId="44" fontId="10" fillId="0" borderId="15" xfId="1" applyFont="1" applyFill="1" applyBorder="1" applyAlignment="1">
      <alignment horizontal="center" vertical="center" wrapText="1"/>
    </xf>
    <xf numFmtId="44" fontId="10" fillId="0" borderId="51" xfId="1" applyFont="1" applyFill="1" applyBorder="1" applyAlignment="1">
      <alignment horizontal="center" vertical="center" wrapText="1"/>
    </xf>
    <xf numFmtId="44" fontId="10" fillId="0" borderId="12" xfId="1" applyFont="1" applyFill="1" applyBorder="1" applyAlignment="1">
      <alignment horizontal="center" vertical="center" wrapText="1"/>
    </xf>
    <xf numFmtId="44" fontId="10" fillId="0" borderId="14" xfId="1" applyFont="1" applyFill="1" applyBorder="1" applyAlignment="1">
      <alignment horizontal="center" vertical="center" wrapText="1"/>
    </xf>
    <xf numFmtId="44" fontId="0" fillId="0" borderId="21" xfId="1" applyFont="1" applyBorder="1" applyAlignment="1">
      <alignment horizontal="center" vertical="center" wrapText="1"/>
    </xf>
    <xf numFmtId="44" fontId="0" fillId="0" borderId="45" xfId="1" applyFont="1" applyBorder="1" applyAlignment="1">
      <alignment horizontal="center" vertical="center" wrapText="1"/>
    </xf>
    <xf numFmtId="44" fontId="0" fillId="0" borderId="12" xfId="1" applyFont="1" applyBorder="1" applyAlignment="1">
      <alignment horizontal="center" vertical="center" wrapText="1"/>
    </xf>
    <xf numFmtId="44" fontId="0" fillId="0" borderId="22" xfId="1" applyFont="1" applyBorder="1" applyAlignment="1">
      <alignment horizontal="center" vertical="center" wrapText="1"/>
    </xf>
    <xf numFmtId="44" fontId="0" fillId="0" borderId="44" xfId="1" applyFont="1" applyBorder="1" applyAlignment="1">
      <alignment horizontal="center" vertical="center" wrapText="1"/>
    </xf>
    <xf numFmtId="44" fontId="0" fillId="0" borderId="11" xfId="1" applyFont="1" applyBorder="1" applyAlignment="1">
      <alignment horizontal="center" vertical="center" wrapText="1"/>
    </xf>
    <xf numFmtId="44" fontId="0" fillId="2" borderId="27" xfId="1" applyFont="1" applyFill="1" applyBorder="1" applyAlignment="1">
      <alignment horizontal="center" vertical="center" wrapText="1"/>
    </xf>
    <xf numFmtId="44" fontId="0" fillId="2" borderId="33" xfId="1" applyFont="1" applyFill="1" applyBorder="1" applyAlignment="1">
      <alignment horizontal="center" vertical="center" wrapText="1"/>
    </xf>
    <xf numFmtId="44" fontId="10" fillId="0" borderId="55" xfId="1" applyFont="1" applyFill="1" applyBorder="1" applyAlignment="1">
      <alignment horizontal="center" vertical="center" wrapText="1"/>
    </xf>
    <xf numFmtId="8" fontId="10" fillId="2" borderId="18" xfId="1" applyNumberFormat="1" applyFont="1" applyFill="1" applyBorder="1" applyAlignment="1">
      <alignment horizontal="center" vertical="center" wrapText="1"/>
    </xf>
    <xf numFmtId="8" fontId="10" fillId="2" borderId="19" xfId="1" applyNumberFormat="1" applyFont="1" applyFill="1" applyBorder="1" applyAlignment="1">
      <alignment horizontal="center" vertical="center" wrapText="1"/>
    </xf>
    <xf numFmtId="44" fontId="0" fillId="0" borderId="52" xfId="1" applyFont="1" applyBorder="1" applyAlignment="1">
      <alignment horizontal="center" vertical="center" wrapText="1"/>
    </xf>
    <xf numFmtId="44" fontId="0" fillId="0" borderId="56" xfId="1" applyFont="1" applyBorder="1" applyAlignment="1">
      <alignment horizontal="center" vertical="center" wrapText="1"/>
    </xf>
    <xf numFmtId="44" fontId="0" fillId="0" borderId="51" xfId="1" applyFont="1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 wrapText="1"/>
    </xf>
    <xf numFmtId="44" fontId="0" fillId="0" borderId="4" xfId="1" applyFont="1" applyBorder="1" applyAlignment="1">
      <alignment horizontal="center" vertical="center" wrapText="1"/>
    </xf>
    <xf numFmtId="44" fontId="0" fillId="0" borderId="36" xfId="1" applyFont="1" applyBorder="1" applyAlignment="1">
      <alignment horizontal="center" vertical="center" wrapText="1"/>
    </xf>
    <xf numFmtId="44" fontId="10" fillId="0" borderId="35" xfId="1" applyFont="1" applyFill="1" applyBorder="1" applyAlignment="1">
      <alignment horizontal="center" vertical="center" wrapText="1"/>
    </xf>
    <xf numFmtId="44" fontId="10" fillId="0" borderId="32" xfId="1" applyFont="1" applyFill="1" applyBorder="1" applyAlignment="1">
      <alignment horizontal="center" vertical="center" wrapText="1"/>
    </xf>
    <xf numFmtId="44" fontId="10" fillId="0" borderId="33" xfId="1" applyFont="1" applyFill="1" applyBorder="1" applyAlignment="1">
      <alignment horizontal="center" vertical="center" wrapText="1"/>
    </xf>
    <xf numFmtId="44" fontId="0" fillId="0" borderId="20" xfId="1" applyFont="1" applyBorder="1" applyAlignment="1">
      <alignment horizontal="center" vertical="center" wrapText="1"/>
    </xf>
    <xf numFmtId="44" fontId="0" fillId="0" borderId="32" xfId="1" applyFont="1" applyBorder="1" applyAlignment="1">
      <alignment horizontal="center" vertical="center" wrapText="1"/>
    </xf>
    <xf numFmtId="44" fontId="0" fillId="0" borderId="33" xfId="1" applyFont="1" applyBorder="1" applyAlignment="1">
      <alignment horizontal="center" vertical="center" wrapText="1"/>
    </xf>
    <xf numFmtId="44" fontId="10" fillId="0" borderId="39" xfId="1" applyFont="1" applyFill="1" applyBorder="1" applyAlignment="1">
      <alignment horizontal="center" vertical="center" wrapText="1"/>
    </xf>
    <xf numFmtId="44" fontId="10" fillId="0" borderId="4" xfId="1" applyFont="1" applyFill="1" applyBorder="1" applyAlignment="1">
      <alignment horizontal="center" vertical="center" wrapText="1"/>
    </xf>
    <xf numFmtId="44" fontId="10" fillId="0" borderId="36" xfId="1" applyFont="1" applyFill="1" applyBorder="1" applyAlignment="1">
      <alignment horizontal="center" vertical="center" wrapText="1"/>
    </xf>
    <xf numFmtId="44" fontId="0" fillId="2" borderId="35" xfId="1" applyFont="1" applyFill="1" applyBorder="1" applyAlignment="1">
      <alignment horizontal="center" vertical="center" wrapText="1"/>
    </xf>
    <xf numFmtId="8" fontId="10" fillId="0" borderId="35" xfId="1" applyNumberFormat="1" applyFont="1" applyFill="1" applyBorder="1" applyAlignment="1">
      <alignment horizontal="center" vertical="center" wrapText="1"/>
    </xf>
    <xf numFmtId="8" fontId="10" fillId="0" borderId="32" xfId="1" applyNumberFormat="1" applyFont="1" applyFill="1" applyBorder="1" applyAlignment="1">
      <alignment horizontal="center" vertical="center" wrapText="1"/>
    </xf>
    <xf numFmtId="8" fontId="10" fillId="0" borderId="34" xfId="1" applyNumberFormat="1" applyFont="1" applyFill="1" applyBorder="1" applyAlignment="1">
      <alignment horizontal="center" vertical="center" wrapText="1"/>
    </xf>
    <xf numFmtId="8" fontId="10" fillId="0" borderId="39" xfId="1" applyNumberFormat="1" applyFont="1" applyFill="1" applyBorder="1" applyAlignment="1">
      <alignment horizontal="center" vertical="center" wrapText="1"/>
    </xf>
    <xf numFmtId="8" fontId="10" fillId="0" borderId="4" xfId="1" applyNumberFormat="1" applyFont="1" applyFill="1" applyBorder="1" applyAlignment="1">
      <alignment horizontal="center" vertical="center" wrapText="1"/>
    </xf>
    <xf numFmtId="8" fontId="10" fillId="0" borderId="6" xfId="1" applyNumberFormat="1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46" xfId="0" applyFont="1" applyFill="1" applyBorder="1" applyAlignment="1">
      <alignment horizontal="center"/>
    </xf>
    <xf numFmtId="164" fontId="1" fillId="0" borderId="44" xfId="1" applyNumberFormat="1" applyFont="1" applyFill="1" applyBorder="1" applyAlignment="1">
      <alignment horizontal="center" vertical="center"/>
    </xf>
    <xf numFmtId="164" fontId="1" fillId="0" borderId="1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164" fontId="1" fillId="0" borderId="45" xfId="1" applyNumberFormat="1" applyFont="1" applyFill="1" applyBorder="1" applyAlignment="1">
      <alignment horizontal="center" vertical="center"/>
    </xf>
    <xf numFmtId="164" fontId="1" fillId="0" borderId="12" xfId="1" applyNumberFormat="1" applyFont="1" applyFill="1" applyBorder="1" applyAlignment="1">
      <alignment horizontal="center" vertical="center"/>
    </xf>
    <xf numFmtId="44" fontId="0" fillId="2" borderId="25" xfId="1" applyFont="1" applyFill="1" applyBorder="1" applyAlignment="1">
      <alignment horizontal="center" vertical="center" wrapText="1"/>
    </xf>
    <xf numFmtId="44" fontId="0" fillId="2" borderId="26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1" fillId="0" borderId="43" xfId="1" applyNumberFormat="1" applyFont="1" applyFill="1" applyBorder="1" applyAlignment="1">
      <alignment horizontal="center" vertical="center"/>
    </xf>
    <xf numFmtId="164" fontId="1" fillId="0" borderId="13" xfId="1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485775</xdr:colOff>
      <xdr:row>1</xdr:row>
      <xdr:rowOff>9525</xdr:rowOff>
    </xdr:from>
    <xdr:ext cx="2379345" cy="615315"/>
    <xdr:pic>
      <xdr:nvPicPr>
        <xdr:cNvPr id="2" name="Grafik 48">
          <a:extLst>
            <a:ext uri="{FF2B5EF4-FFF2-40B4-BE49-F238E27FC236}">
              <a16:creationId xmlns:a16="http://schemas.microsoft.com/office/drawing/2014/main" id="{AE03CB77-3439-4D3E-A4F3-EF3D8562C38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200025"/>
          <a:ext cx="2379345" cy="615315"/>
        </a:xfrm>
        <a:prstGeom prst="rect">
          <a:avLst/>
        </a:prstGeom>
      </xdr:spPr>
    </xdr:pic>
    <xdr:clientData/>
  </xdr:oneCellAnchor>
  <xdr:oneCellAnchor>
    <xdr:from>
      <xdr:col>10</xdr:col>
      <xdr:colOff>628650</xdr:colOff>
      <xdr:row>1</xdr:row>
      <xdr:rowOff>41338</xdr:rowOff>
    </xdr:from>
    <xdr:ext cx="2856738" cy="553021"/>
    <xdr:pic>
      <xdr:nvPicPr>
        <xdr:cNvPr id="3" name="Picture 2">
          <a:extLst>
            <a:ext uri="{FF2B5EF4-FFF2-40B4-BE49-F238E27FC236}">
              <a16:creationId xmlns:a16="http://schemas.microsoft.com/office/drawing/2014/main" id="{FC5B1B12-3CC6-4C15-8F7B-B01C98BE2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4425" y="231838"/>
          <a:ext cx="2856738" cy="55302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485775</xdr:colOff>
      <xdr:row>1</xdr:row>
      <xdr:rowOff>9525</xdr:rowOff>
    </xdr:from>
    <xdr:ext cx="2379345" cy="615315"/>
    <xdr:pic>
      <xdr:nvPicPr>
        <xdr:cNvPr id="2" name="Grafik 48">
          <a:extLst>
            <a:ext uri="{FF2B5EF4-FFF2-40B4-BE49-F238E27FC236}">
              <a16:creationId xmlns:a16="http://schemas.microsoft.com/office/drawing/2014/main" id="{5DF80B1A-5F58-4FC6-B0AD-87446815030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200025"/>
          <a:ext cx="2379345" cy="615315"/>
        </a:xfrm>
        <a:prstGeom prst="rect">
          <a:avLst/>
        </a:prstGeom>
      </xdr:spPr>
    </xdr:pic>
    <xdr:clientData/>
  </xdr:oneCellAnchor>
  <xdr:oneCellAnchor>
    <xdr:from>
      <xdr:col>10</xdr:col>
      <xdr:colOff>628650</xdr:colOff>
      <xdr:row>1</xdr:row>
      <xdr:rowOff>41338</xdr:rowOff>
    </xdr:from>
    <xdr:ext cx="2856738" cy="553021"/>
    <xdr:pic>
      <xdr:nvPicPr>
        <xdr:cNvPr id="3" name="Picture 2">
          <a:extLst>
            <a:ext uri="{FF2B5EF4-FFF2-40B4-BE49-F238E27FC236}">
              <a16:creationId xmlns:a16="http://schemas.microsoft.com/office/drawing/2014/main" id="{7C8DC377-3617-493D-8EC9-3DFE32BB9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4425" y="231838"/>
          <a:ext cx="2856738" cy="55302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485775</xdr:colOff>
      <xdr:row>1</xdr:row>
      <xdr:rowOff>9525</xdr:rowOff>
    </xdr:from>
    <xdr:ext cx="2379345" cy="615315"/>
    <xdr:pic>
      <xdr:nvPicPr>
        <xdr:cNvPr id="2" name="Grafik 48">
          <a:extLst>
            <a:ext uri="{FF2B5EF4-FFF2-40B4-BE49-F238E27FC236}">
              <a16:creationId xmlns:a16="http://schemas.microsoft.com/office/drawing/2014/main" id="{CFDD7CC3-F204-4B86-8931-0378F4A60A0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200025"/>
          <a:ext cx="2379345" cy="615315"/>
        </a:xfrm>
        <a:prstGeom prst="rect">
          <a:avLst/>
        </a:prstGeom>
      </xdr:spPr>
    </xdr:pic>
    <xdr:clientData/>
  </xdr:oneCellAnchor>
  <xdr:oneCellAnchor>
    <xdr:from>
      <xdr:col>10</xdr:col>
      <xdr:colOff>628650</xdr:colOff>
      <xdr:row>1</xdr:row>
      <xdr:rowOff>41338</xdr:rowOff>
    </xdr:from>
    <xdr:ext cx="2856738" cy="553021"/>
    <xdr:pic>
      <xdr:nvPicPr>
        <xdr:cNvPr id="3" name="Picture 2">
          <a:extLst>
            <a:ext uri="{FF2B5EF4-FFF2-40B4-BE49-F238E27FC236}">
              <a16:creationId xmlns:a16="http://schemas.microsoft.com/office/drawing/2014/main" id="{08996580-427F-49A0-912A-4C381F1F2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4425" y="231838"/>
          <a:ext cx="2856738" cy="553021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1</xdr:row>
      <xdr:rowOff>9525</xdr:rowOff>
    </xdr:from>
    <xdr:to>
      <xdr:col>2</xdr:col>
      <xdr:colOff>1198245</xdr:colOff>
      <xdr:row>4</xdr:row>
      <xdr:rowOff>53340</xdr:rowOff>
    </xdr:to>
    <xdr:pic>
      <xdr:nvPicPr>
        <xdr:cNvPr id="2" name="Grafik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200025"/>
          <a:ext cx="2390775" cy="60960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1</xdr:row>
      <xdr:rowOff>41338</xdr:rowOff>
    </xdr:from>
    <xdr:to>
      <xdr:col>13</xdr:col>
      <xdr:colOff>323088</xdr:colOff>
      <xdr:row>4</xdr:row>
      <xdr:rowOff>22859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01025" y="231838"/>
          <a:ext cx="2868168" cy="5454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1</xdr:row>
      <xdr:rowOff>9525</xdr:rowOff>
    </xdr:from>
    <xdr:to>
      <xdr:col>2</xdr:col>
      <xdr:colOff>1209675</xdr:colOff>
      <xdr:row>4</xdr:row>
      <xdr:rowOff>47625</xdr:rowOff>
    </xdr:to>
    <xdr:pic>
      <xdr:nvPicPr>
        <xdr:cNvPr id="2" name="Grafik 48">
          <a:extLst>
            <a:ext uri="{FF2B5EF4-FFF2-40B4-BE49-F238E27FC236}">
              <a16:creationId xmlns:a16="http://schemas.microsoft.com/office/drawing/2014/main" id="{D39FE4C0-9DEC-4AA2-A48D-053A04172ED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200025"/>
          <a:ext cx="2390775" cy="60960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1</xdr:row>
      <xdr:rowOff>41338</xdr:rowOff>
    </xdr:from>
    <xdr:to>
      <xdr:col>13</xdr:col>
      <xdr:colOff>334518</xdr:colOff>
      <xdr:row>4</xdr:row>
      <xdr:rowOff>15239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FC9B5B-9051-4697-B379-4ABB7A4D5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00" y="231838"/>
          <a:ext cx="2868168" cy="5454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485775</xdr:colOff>
      <xdr:row>1</xdr:row>
      <xdr:rowOff>9525</xdr:rowOff>
    </xdr:from>
    <xdr:ext cx="2390775" cy="609600"/>
    <xdr:pic>
      <xdr:nvPicPr>
        <xdr:cNvPr id="2" name="Grafik 48">
          <a:extLst>
            <a:ext uri="{FF2B5EF4-FFF2-40B4-BE49-F238E27FC236}">
              <a16:creationId xmlns:a16="http://schemas.microsoft.com/office/drawing/2014/main" id="{B529B15E-8162-4C90-B3F6-1708355065E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200025"/>
          <a:ext cx="2390775" cy="609600"/>
        </a:xfrm>
        <a:prstGeom prst="rect">
          <a:avLst/>
        </a:prstGeom>
      </xdr:spPr>
    </xdr:pic>
    <xdr:clientData/>
  </xdr:oneCellAnchor>
  <xdr:oneCellAnchor>
    <xdr:from>
      <xdr:col>10</xdr:col>
      <xdr:colOff>152400</xdr:colOff>
      <xdr:row>1</xdr:row>
      <xdr:rowOff>41338</xdr:rowOff>
    </xdr:from>
    <xdr:ext cx="2868168" cy="545401"/>
    <xdr:pic>
      <xdr:nvPicPr>
        <xdr:cNvPr id="3" name="Picture 2">
          <a:extLst>
            <a:ext uri="{FF2B5EF4-FFF2-40B4-BE49-F238E27FC236}">
              <a16:creationId xmlns:a16="http://schemas.microsoft.com/office/drawing/2014/main" id="{4A46500F-7077-4375-AAA3-96F90957F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00" y="231838"/>
          <a:ext cx="2868168" cy="54540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DA406-15D9-4A45-9148-7EEBF897EE22}">
  <sheetPr>
    <pageSetUpPr fitToPage="1"/>
  </sheetPr>
  <dimension ref="A1:AB75"/>
  <sheetViews>
    <sheetView tabSelected="1" workbookViewId="0">
      <selection activeCell="I20" sqref="I20"/>
    </sheetView>
  </sheetViews>
  <sheetFormatPr defaultRowHeight="15" x14ac:dyDescent="0.25"/>
  <cols>
    <col min="1" max="1" width="8.42578125" customWidth="1"/>
    <col min="2" max="2" width="16.5703125" customWidth="1"/>
    <col min="3" max="3" width="18.85546875" customWidth="1"/>
    <col min="4" max="4" width="14.7109375" customWidth="1"/>
    <col min="5" max="5" width="10.5703125" bestFit="1" customWidth="1"/>
    <col min="6" max="6" width="8" bestFit="1" customWidth="1"/>
    <col min="7" max="7" width="10" bestFit="1" customWidth="1"/>
    <col min="8" max="8" width="11.28515625" bestFit="1" customWidth="1"/>
    <col min="9" max="9" width="10.42578125" customWidth="1"/>
    <col min="10" max="10" width="12.7109375" customWidth="1"/>
    <col min="11" max="11" width="17.140625" customWidth="1"/>
    <col min="12" max="12" width="9.7109375" customWidth="1"/>
    <col min="13" max="13" width="13.42578125" customWidth="1"/>
    <col min="14" max="14" width="11" bestFit="1" customWidth="1"/>
    <col min="15" max="15" width="12.42578125" customWidth="1"/>
    <col min="16" max="17" width="11" bestFit="1" customWidth="1"/>
    <col min="18" max="18" width="11.140625" bestFit="1" customWidth="1"/>
    <col min="19" max="19" width="11.28515625" bestFit="1" customWidth="1"/>
    <col min="20" max="20" width="10.85546875" customWidth="1"/>
    <col min="21" max="25" width="11" bestFit="1" customWidth="1"/>
    <col min="26" max="27" width="10.85546875" customWidth="1"/>
    <col min="28" max="28" width="10.85546875" bestFit="1" customWidth="1"/>
  </cols>
  <sheetData>
    <row r="1" spans="1:28" ht="15" customHeight="1" x14ac:dyDescent="0.25">
      <c r="A1" s="145" t="s">
        <v>130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7"/>
      <c r="P1" s="154" t="s">
        <v>67</v>
      </c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6"/>
    </row>
    <row r="2" spans="1:28" ht="15" customHeight="1" x14ac:dyDescent="0.25">
      <c r="A2" s="148"/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50"/>
      <c r="P2" s="157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9"/>
    </row>
    <row r="3" spans="1:28" ht="15" customHeight="1" x14ac:dyDescent="0.25">
      <c r="A3" s="148"/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50"/>
      <c r="P3" s="157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</row>
    <row r="4" spans="1:28" ht="15" customHeight="1" x14ac:dyDescent="0.25">
      <c r="A4" s="148"/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50"/>
      <c r="P4" s="157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9"/>
    </row>
    <row r="5" spans="1:28" ht="15" customHeight="1" x14ac:dyDescent="0.25">
      <c r="A5" s="148"/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50"/>
      <c r="P5" s="157"/>
      <c r="Q5" s="158"/>
      <c r="R5" s="158"/>
      <c r="S5" s="158"/>
      <c r="T5" s="158"/>
      <c r="U5" s="158"/>
      <c r="V5" s="158"/>
      <c r="W5" s="158"/>
      <c r="X5" s="158"/>
      <c r="Y5" s="158"/>
      <c r="Z5" s="158"/>
      <c r="AA5" s="158"/>
      <c r="AB5" s="159"/>
    </row>
    <row r="6" spans="1:28" ht="15.75" customHeight="1" thickBot="1" x14ac:dyDescent="0.3">
      <c r="A6" s="151"/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3"/>
      <c r="P6" s="160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2"/>
    </row>
    <row r="7" spans="1:28" ht="15.75" thickBot="1" x14ac:dyDescent="0.3">
      <c r="A7" s="163" t="s">
        <v>17</v>
      </c>
      <c r="B7" s="164"/>
      <c r="C7" s="14" t="s">
        <v>30</v>
      </c>
      <c r="D7" s="163" t="s">
        <v>10</v>
      </c>
      <c r="E7" s="165"/>
      <c r="F7" s="165"/>
      <c r="G7" s="165"/>
      <c r="H7" s="165"/>
      <c r="I7" s="165"/>
      <c r="J7" s="164"/>
      <c r="K7" s="15" t="s">
        <v>29</v>
      </c>
      <c r="L7" s="163" t="s">
        <v>12</v>
      </c>
      <c r="M7" s="165"/>
      <c r="N7" s="165"/>
      <c r="O7" s="164"/>
      <c r="P7" s="166" t="s">
        <v>36</v>
      </c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8"/>
    </row>
    <row r="8" spans="1:28" s="1" customFormat="1" ht="60.75" thickBot="1" x14ac:dyDescent="0.3">
      <c r="A8" s="55" t="s">
        <v>71</v>
      </c>
      <c r="B8" s="56" t="s">
        <v>9</v>
      </c>
      <c r="C8" s="57" t="s">
        <v>11</v>
      </c>
      <c r="D8" s="55" t="s">
        <v>72</v>
      </c>
      <c r="E8" s="58" t="s">
        <v>0</v>
      </c>
      <c r="F8" s="59" t="s">
        <v>5</v>
      </c>
      <c r="G8" s="59" t="s">
        <v>6</v>
      </c>
      <c r="H8" s="59" t="s">
        <v>7</v>
      </c>
      <c r="I8" s="60" t="s">
        <v>8</v>
      </c>
      <c r="J8" s="61" t="s">
        <v>13</v>
      </c>
      <c r="K8" s="61" t="s">
        <v>68</v>
      </c>
      <c r="L8" s="55" t="s">
        <v>71</v>
      </c>
      <c r="M8" s="56" t="s">
        <v>126</v>
      </c>
      <c r="N8" s="62" t="s">
        <v>15</v>
      </c>
      <c r="O8" s="62" t="s">
        <v>114</v>
      </c>
      <c r="P8" s="110" t="s">
        <v>52</v>
      </c>
      <c r="Q8" s="110" t="s">
        <v>51</v>
      </c>
      <c r="R8" s="110" t="s">
        <v>47</v>
      </c>
      <c r="S8" s="110" t="s">
        <v>48</v>
      </c>
      <c r="T8" s="110" t="s">
        <v>49</v>
      </c>
      <c r="U8" s="110" t="s">
        <v>54</v>
      </c>
      <c r="V8" s="110" t="s">
        <v>44</v>
      </c>
      <c r="W8" s="110" t="s">
        <v>46</v>
      </c>
      <c r="X8" s="110" t="s">
        <v>53</v>
      </c>
      <c r="Y8" s="110" t="s">
        <v>45</v>
      </c>
      <c r="Z8" s="111" t="s">
        <v>55</v>
      </c>
      <c r="AA8" s="110" t="s">
        <v>50</v>
      </c>
      <c r="AB8" s="10" t="s">
        <v>56</v>
      </c>
    </row>
    <row r="9" spans="1:28" ht="15" customHeight="1" x14ac:dyDescent="0.25">
      <c r="A9" s="31">
        <v>3</v>
      </c>
      <c r="B9" s="28">
        <v>1050</v>
      </c>
      <c r="C9" s="26" t="s">
        <v>1</v>
      </c>
      <c r="D9" s="31">
        <v>3</v>
      </c>
      <c r="E9" s="51">
        <v>115</v>
      </c>
      <c r="F9" s="25">
        <v>4.76</v>
      </c>
      <c r="G9" s="8">
        <v>9.6</v>
      </c>
      <c r="H9" s="8">
        <v>19.5</v>
      </c>
      <c r="I9" s="22">
        <f t="shared" ref="I9:I33" si="0">SUM(E9:H9)</f>
        <v>148.86000000000001</v>
      </c>
      <c r="J9" s="11">
        <f t="shared" ref="J9:J33" si="1">I9*D9</f>
        <v>446.58000000000004</v>
      </c>
      <c r="K9" s="137" t="s">
        <v>109</v>
      </c>
      <c r="L9" s="31">
        <v>3</v>
      </c>
      <c r="M9" s="108">
        <v>975</v>
      </c>
      <c r="N9" s="109">
        <v>1365</v>
      </c>
      <c r="O9" s="108">
        <v>1755</v>
      </c>
      <c r="P9" s="125">
        <v>9930</v>
      </c>
      <c r="Q9" s="120">
        <v>10230</v>
      </c>
      <c r="R9" s="120">
        <v>9780</v>
      </c>
      <c r="S9" s="120">
        <v>11080</v>
      </c>
      <c r="T9" s="120">
        <v>11580</v>
      </c>
      <c r="U9" s="120">
        <v>10230</v>
      </c>
      <c r="V9" s="120">
        <v>9780</v>
      </c>
      <c r="W9" s="120">
        <v>11080</v>
      </c>
      <c r="X9" s="120">
        <v>12380</v>
      </c>
      <c r="Y9" s="120">
        <v>9780</v>
      </c>
      <c r="Z9" s="120">
        <v>12280</v>
      </c>
      <c r="AA9" s="126">
        <v>10785</v>
      </c>
      <c r="AB9" s="121">
        <v>195</v>
      </c>
    </row>
    <row r="10" spans="1:28" ht="15" customHeight="1" x14ac:dyDescent="0.25">
      <c r="A10" s="32">
        <v>5</v>
      </c>
      <c r="B10" s="29">
        <v>1050</v>
      </c>
      <c r="C10" s="27" t="s">
        <v>1</v>
      </c>
      <c r="D10" s="32">
        <v>5</v>
      </c>
      <c r="E10" s="52">
        <v>115</v>
      </c>
      <c r="F10" s="7">
        <v>4.76</v>
      </c>
      <c r="G10" s="7">
        <v>9.6</v>
      </c>
      <c r="H10" s="7">
        <v>19.5</v>
      </c>
      <c r="I10" s="23">
        <f t="shared" si="0"/>
        <v>148.86000000000001</v>
      </c>
      <c r="J10" s="12">
        <f t="shared" si="1"/>
        <v>744.30000000000007</v>
      </c>
      <c r="K10" s="138"/>
      <c r="L10" s="32">
        <v>5</v>
      </c>
      <c r="M10" s="105">
        <v>975</v>
      </c>
      <c r="N10" s="107">
        <v>1365</v>
      </c>
      <c r="O10" s="105">
        <v>1755</v>
      </c>
      <c r="P10" s="127">
        <v>9930</v>
      </c>
      <c r="Q10" s="119">
        <v>10230</v>
      </c>
      <c r="R10" s="119">
        <v>9780</v>
      </c>
      <c r="S10" s="119">
        <v>11080</v>
      </c>
      <c r="T10" s="119">
        <v>11580</v>
      </c>
      <c r="U10" s="119">
        <v>10230</v>
      </c>
      <c r="V10" s="119">
        <v>9780</v>
      </c>
      <c r="W10" s="119">
        <v>11080</v>
      </c>
      <c r="X10" s="119">
        <v>12380</v>
      </c>
      <c r="Y10" s="119">
        <v>9780</v>
      </c>
      <c r="Z10" s="119">
        <v>12280</v>
      </c>
      <c r="AA10" s="128">
        <v>10785</v>
      </c>
      <c r="AB10" s="122">
        <v>195</v>
      </c>
    </row>
    <row r="11" spans="1:28" ht="15" customHeight="1" x14ac:dyDescent="0.25">
      <c r="A11" s="32">
        <v>7</v>
      </c>
      <c r="B11" s="29">
        <v>1050</v>
      </c>
      <c r="C11" s="27" t="s">
        <v>1</v>
      </c>
      <c r="D11" s="32">
        <v>7</v>
      </c>
      <c r="E11" s="52">
        <v>115</v>
      </c>
      <c r="F11" s="7">
        <v>4.76</v>
      </c>
      <c r="G11" s="7">
        <v>9.6</v>
      </c>
      <c r="H11" s="7">
        <v>19.5</v>
      </c>
      <c r="I11" s="23">
        <f t="shared" si="0"/>
        <v>148.86000000000001</v>
      </c>
      <c r="J11" s="12">
        <f t="shared" si="1"/>
        <v>1042.02</v>
      </c>
      <c r="K11" s="138"/>
      <c r="L11" s="32">
        <v>7</v>
      </c>
      <c r="M11" s="105">
        <v>975</v>
      </c>
      <c r="N11" s="107">
        <v>1365</v>
      </c>
      <c r="O11" s="105">
        <v>1755</v>
      </c>
      <c r="P11" s="127">
        <v>9930</v>
      </c>
      <c r="Q11" s="119">
        <v>10230</v>
      </c>
      <c r="R11" s="119">
        <v>9780</v>
      </c>
      <c r="S11" s="119">
        <v>11080</v>
      </c>
      <c r="T11" s="119">
        <v>11580</v>
      </c>
      <c r="U11" s="119">
        <v>10230</v>
      </c>
      <c r="V11" s="119">
        <v>9780</v>
      </c>
      <c r="W11" s="119">
        <v>11080</v>
      </c>
      <c r="X11" s="119">
        <v>12380</v>
      </c>
      <c r="Y11" s="119">
        <v>9780</v>
      </c>
      <c r="Z11" s="119">
        <v>12280</v>
      </c>
      <c r="AA11" s="128">
        <v>10785</v>
      </c>
      <c r="AB11" s="122">
        <v>195</v>
      </c>
    </row>
    <row r="12" spans="1:28" ht="15" customHeight="1" x14ac:dyDescent="0.25">
      <c r="A12" s="32">
        <v>10</v>
      </c>
      <c r="B12" s="29">
        <v>1050</v>
      </c>
      <c r="C12" s="27" t="s">
        <v>1</v>
      </c>
      <c r="D12" s="32">
        <v>10</v>
      </c>
      <c r="E12" s="52">
        <v>115</v>
      </c>
      <c r="F12" s="7">
        <v>4.76</v>
      </c>
      <c r="G12" s="7">
        <v>9.6</v>
      </c>
      <c r="H12" s="7">
        <v>19.5</v>
      </c>
      <c r="I12" s="23">
        <f t="shared" si="0"/>
        <v>148.86000000000001</v>
      </c>
      <c r="J12" s="12">
        <f t="shared" si="1"/>
        <v>1488.6000000000001</v>
      </c>
      <c r="K12" s="138"/>
      <c r="L12" s="32">
        <v>10</v>
      </c>
      <c r="M12" s="105">
        <v>975</v>
      </c>
      <c r="N12" s="107">
        <v>1365</v>
      </c>
      <c r="O12" s="105">
        <v>1755</v>
      </c>
      <c r="P12" s="127">
        <v>9930</v>
      </c>
      <c r="Q12" s="119">
        <v>10230</v>
      </c>
      <c r="R12" s="119">
        <v>9780</v>
      </c>
      <c r="S12" s="119">
        <v>11080</v>
      </c>
      <c r="T12" s="119">
        <v>11580</v>
      </c>
      <c r="U12" s="119">
        <v>10230</v>
      </c>
      <c r="V12" s="119">
        <v>9780</v>
      </c>
      <c r="W12" s="119">
        <v>11080</v>
      </c>
      <c r="X12" s="119">
        <v>12380</v>
      </c>
      <c r="Y12" s="119">
        <v>9780</v>
      </c>
      <c r="Z12" s="119">
        <v>12280</v>
      </c>
      <c r="AA12" s="128">
        <v>10785</v>
      </c>
      <c r="AB12" s="122">
        <v>195</v>
      </c>
    </row>
    <row r="13" spans="1:28" ht="15" customHeight="1" x14ac:dyDescent="0.25">
      <c r="A13" s="32">
        <v>15</v>
      </c>
      <c r="B13" s="29">
        <v>1150</v>
      </c>
      <c r="C13" s="27" t="s">
        <v>1</v>
      </c>
      <c r="D13" s="32">
        <v>15</v>
      </c>
      <c r="E13" s="52">
        <v>115</v>
      </c>
      <c r="F13" s="7">
        <v>4.76</v>
      </c>
      <c r="G13" s="7">
        <v>9.6</v>
      </c>
      <c r="H13" s="7">
        <v>19.5</v>
      </c>
      <c r="I13" s="23">
        <f t="shared" si="0"/>
        <v>148.86000000000001</v>
      </c>
      <c r="J13" s="12">
        <f t="shared" si="1"/>
        <v>2232.9</v>
      </c>
      <c r="K13" s="138"/>
      <c r="L13" s="41">
        <v>15</v>
      </c>
      <c r="M13" s="105">
        <v>975</v>
      </c>
      <c r="N13" s="107">
        <v>1365</v>
      </c>
      <c r="O13" s="105">
        <v>1755</v>
      </c>
      <c r="P13" s="127">
        <v>9930</v>
      </c>
      <c r="Q13" s="119">
        <v>10230</v>
      </c>
      <c r="R13" s="119">
        <v>9780</v>
      </c>
      <c r="S13" s="119">
        <v>11080</v>
      </c>
      <c r="T13" s="119">
        <v>11580</v>
      </c>
      <c r="U13" s="119">
        <v>10230</v>
      </c>
      <c r="V13" s="119">
        <v>9780</v>
      </c>
      <c r="W13" s="119">
        <v>11080</v>
      </c>
      <c r="X13" s="119">
        <v>12380</v>
      </c>
      <c r="Y13" s="119">
        <v>9780</v>
      </c>
      <c r="Z13" s="119">
        <v>12280</v>
      </c>
      <c r="AA13" s="128">
        <v>10785</v>
      </c>
      <c r="AB13" s="122">
        <v>195</v>
      </c>
    </row>
    <row r="14" spans="1:28" ht="15" customHeight="1" x14ac:dyDescent="0.25">
      <c r="A14" s="32">
        <v>17</v>
      </c>
      <c r="B14" s="29">
        <v>1150</v>
      </c>
      <c r="C14" s="27" t="s">
        <v>1</v>
      </c>
      <c r="D14" s="32">
        <v>17</v>
      </c>
      <c r="E14" s="52">
        <v>115</v>
      </c>
      <c r="F14" s="7">
        <v>4.76</v>
      </c>
      <c r="G14" s="7">
        <v>9.6</v>
      </c>
      <c r="H14" s="7">
        <v>19.5</v>
      </c>
      <c r="I14" s="23">
        <f t="shared" si="0"/>
        <v>148.86000000000001</v>
      </c>
      <c r="J14" s="12">
        <f t="shared" si="1"/>
        <v>2530.6200000000003</v>
      </c>
      <c r="K14" s="138"/>
      <c r="L14" s="41">
        <v>17</v>
      </c>
      <c r="M14" s="105">
        <v>975</v>
      </c>
      <c r="N14" s="107">
        <v>1365</v>
      </c>
      <c r="O14" s="105">
        <v>1755</v>
      </c>
      <c r="P14" s="127">
        <v>9930</v>
      </c>
      <c r="Q14" s="119">
        <v>10230</v>
      </c>
      <c r="R14" s="119">
        <v>9780</v>
      </c>
      <c r="S14" s="119">
        <v>11080</v>
      </c>
      <c r="T14" s="119">
        <v>11580</v>
      </c>
      <c r="U14" s="119">
        <v>10230</v>
      </c>
      <c r="V14" s="119">
        <v>9780</v>
      </c>
      <c r="W14" s="119">
        <v>11080</v>
      </c>
      <c r="X14" s="119">
        <v>12380</v>
      </c>
      <c r="Y14" s="119">
        <v>9780</v>
      </c>
      <c r="Z14" s="119">
        <v>12280</v>
      </c>
      <c r="AA14" s="128">
        <v>10785</v>
      </c>
      <c r="AB14" s="122">
        <v>195</v>
      </c>
    </row>
    <row r="15" spans="1:28" ht="15" customHeight="1" x14ac:dyDescent="0.25">
      <c r="A15" s="32">
        <v>18</v>
      </c>
      <c r="B15" s="29">
        <v>1150</v>
      </c>
      <c r="C15" s="27" t="s">
        <v>1</v>
      </c>
      <c r="D15" s="32">
        <v>18</v>
      </c>
      <c r="E15" s="52">
        <v>115</v>
      </c>
      <c r="F15" s="7">
        <v>4.76</v>
      </c>
      <c r="G15" s="7">
        <v>9.6</v>
      </c>
      <c r="H15" s="7">
        <v>19.5</v>
      </c>
      <c r="I15" s="23">
        <f t="shared" si="0"/>
        <v>148.86000000000001</v>
      </c>
      <c r="J15" s="12">
        <f t="shared" si="1"/>
        <v>2679.4800000000005</v>
      </c>
      <c r="K15" s="138"/>
      <c r="L15" s="41">
        <v>18</v>
      </c>
      <c r="M15" s="105">
        <v>975</v>
      </c>
      <c r="N15" s="107">
        <v>1365</v>
      </c>
      <c r="O15" s="105">
        <v>1755</v>
      </c>
      <c r="P15" s="127">
        <v>9930</v>
      </c>
      <c r="Q15" s="119">
        <v>10230</v>
      </c>
      <c r="R15" s="119">
        <v>9780</v>
      </c>
      <c r="S15" s="119">
        <v>11080</v>
      </c>
      <c r="T15" s="119">
        <v>11580</v>
      </c>
      <c r="U15" s="119">
        <v>10230</v>
      </c>
      <c r="V15" s="119">
        <v>9780</v>
      </c>
      <c r="W15" s="119">
        <v>11080</v>
      </c>
      <c r="X15" s="119">
        <v>12380</v>
      </c>
      <c r="Y15" s="119">
        <v>9780</v>
      </c>
      <c r="Z15" s="119">
        <v>12280</v>
      </c>
      <c r="AA15" s="128">
        <v>10785</v>
      </c>
      <c r="AB15" s="122">
        <v>195</v>
      </c>
    </row>
    <row r="16" spans="1:28" ht="15" customHeight="1" x14ac:dyDescent="0.25">
      <c r="A16" s="33">
        <v>20</v>
      </c>
      <c r="B16" s="29">
        <v>1150</v>
      </c>
      <c r="C16" s="27" t="s">
        <v>1</v>
      </c>
      <c r="D16" s="33">
        <v>20</v>
      </c>
      <c r="E16" s="52">
        <v>98</v>
      </c>
      <c r="F16" s="7">
        <v>4.76</v>
      </c>
      <c r="G16" s="7">
        <v>9.6</v>
      </c>
      <c r="H16" s="7">
        <v>19.5</v>
      </c>
      <c r="I16" s="23">
        <f t="shared" si="0"/>
        <v>131.86000000000001</v>
      </c>
      <c r="J16" s="12">
        <f t="shared" si="1"/>
        <v>2637.2000000000003</v>
      </c>
      <c r="K16" s="138"/>
      <c r="L16" s="42">
        <v>20</v>
      </c>
      <c r="M16" s="105">
        <v>975</v>
      </c>
      <c r="N16" s="107">
        <v>1365</v>
      </c>
      <c r="O16" s="105">
        <v>1755</v>
      </c>
      <c r="P16" s="127">
        <v>9930</v>
      </c>
      <c r="Q16" s="119">
        <v>10230</v>
      </c>
      <c r="R16" s="119">
        <v>9780</v>
      </c>
      <c r="S16" s="119">
        <v>11080</v>
      </c>
      <c r="T16" s="119">
        <v>11580</v>
      </c>
      <c r="U16" s="119">
        <v>10230</v>
      </c>
      <c r="V16" s="119">
        <v>9780</v>
      </c>
      <c r="W16" s="119">
        <v>11080</v>
      </c>
      <c r="X16" s="119">
        <v>12380</v>
      </c>
      <c r="Y16" s="119">
        <v>9780</v>
      </c>
      <c r="Z16" s="119">
        <v>12280</v>
      </c>
      <c r="AA16" s="128">
        <v>10785</v>
      </c>
      <c r="AB16" s="122">
        <v>195</v>
      </c>
    </row>
    <row r="17" spans="1:28" ht="15.75" customHeight="1" x14ac:dyDescent="0.25">
      <c r="A17" s="33">
        <v>22</v>
      </c>
      <c r="B17" s="29">
        <v>1150</v>
      </c>
      <c r="C17" s="27" t="s">
        <v>1</v>
      </c>
      <c r="D17" s="33">
        <v>22</v>
      </c>
      <c r="E17" s="52">
        <v>98</v>
      </c>
      <c r="F17" s="7">
        <v>4.76</v>
      </c>
      <c r="G17" s="7">
        <v>9.6</v>
      </c>
      <c r="H17" s="7">
        <v>19.5</v>
      </c>
      <c r="I17" s="23">
        <f t="shared" si="0"/>
        <v>131.86000000000001</v>
      </c>
      <c r="J17" s="12">
        <f t="shared" si="1"/>
        <v>2900.92</v>
      </c>
      <c r="K17" s="138"/>
      <c r="L17" s="42">
        <v>22</v>
      </c>
      <c r="M17" s="105">
        <v>975</v>
      </c>
      <c r="N17" s="107">
        <v>1365</v>
      </c>
      <c r="O17" s="105">
        <v>1755</v>
      </c>
      <c r="P17" s="127">
        <v>9930</v>
      </c>
      <c r="Q17" s="119">
        <v>10230</v>
      </c>
      <c r="R17" s="119">
        <v>9780</v>
      </c>
      <c r="S17" s="119">
        <v>11080</v>
      </c>
      <c r="T17" s="119">
        <v>11580</v>
      </c>
      <c r="U17" s="119">
        <v>10230</v>
      </c>
      <c r="V17" s="119">
        <v>9780</v>
      </c>
      <c r="W17" s="119">
        <v>11080</v>
      </c>
      <c r="X17" s="119">
        <v>12380</v>
      </c>
      <c r="Y17" s="119">
        <v>9780</v>
      </c>
      <c r="Z17" s="119">
        <v>12280</v>
      </c>
      <c r="AA17" s="128">
        <v>10785</v>
      </c>
      <c r="AB17" s="122">
        <v>195</v>
      </c>
    </row>
    <row r="18" spans="1:28" x14ac:dyDescent="0.25">
      <c r="A18" s="34">
        <v>24</v>
      </c>
      <c r="B18" s="29">
        <v>1300</v>
      </c>
      <c r="C18" s="27" t="s">
        <v>1</v>
      </c>
      <c r="D18" s="34">
        <v>24</v>
      </c>
      <c r="E18" s="52">
        <v>98</v>
      </c>
      <c r="F18" s="7">
        <v>4.76</v>
      </c>
      <c r="G18" s="7">
        <v>9.6</v>
      </c>
      <c r="H18" s="7">
        <v>19.5</v>
      </c>
      <c r="I18" s="23">
        <f t="shared" si="0"/>
        <v>131.86000000000001</v>
      </c>
      <c r="J18" s="12">
        <f t="shared" si="1"/>
        <v>3164.6400000000003</v>
      </c>
      <c r="K18" s="138"/>
      <c r="L18" s="43">
        <v>24</v>
      </c>
      <c r="M18" s="105">
        <v>1400</v>
      </c>
      <c r="N18" s="107">
        <v>1960</v>
      </c>
      <c r="O18" s="105">
        <v>2520</v>
      </c>
      <c r="P18" s="113">
        <v>10270</v>
      </c>
      <c r="Q18" s="112">
        <v>10570</v>
      </c>
      <c r="R18" s="112">
        <v>10120</v>
      </c>
      <c r="S18" s="112">
        <v>11420</v>
      </c>
      <c r="T18" s="112">
        <v>11920</v>
      </c>
      <c r="U18" s="112">
        <v>10570</v>
      </c>
      <c r="V18" s="112">
        <v>10120</v>
      </c>
      <c r="W18" s="112">
        <v>11420</v>
      </c>
      <c r="X18" s="112">
        <v>12720</v>
      </c>
      <c r="Y18" s="112">
        <v>10120</v>
      </c>
      <c r="Z18" s="112">
        <v>12870</v>
      </c>
      <c r="AA18" s="128">
        <v>11600</v>
      </c>
      <c r="AB18" s="115">
        <v>280</v>
      </c>
    </row>
    <row r="19" spans="1:28" ht="15" customHeight="1" x14ac:dyDescent="0.25">
      <c r="A19" s="34">
        <v>26</v>
      </c>
      <c r="B19" s="29">
        <v>1300</v>
      </c>
      <c r="C19" s="27" t="s">
        <v>1</v>
      </c>
      <c r="D19" s="34">
        <v>26</v>
      </c>
      <c r="E19" s="52">
        <v>98</v>
      </c>
      <c r="F19" s="7">
        <v>4.76</v>
      </c>
      <c r="G19" s="7">
        <v>9.6</v>
      </c>
      <c r="H19" s="7">
        <v>19.5</v>
      </c>
      <c r="I19" s="23">
        <f t="shared" si="0"/>
        <v>131.86000000000001</v>
      </c>
      <c r="J19" s="12">
        <f t="shared" si="1"/>
        <v>3428.3600000000006</v>
      </c>
      <c r="K19" s="138"/>
      <c r="L19" s="43">
        <v>26</v>
      </c>
      <c r="M19" s="105">
        <v>1400</v>
      </c>
      <c r="N19" s="107">
        <v>1960</v>
      </c>
      <c r="O19" s="105">
        <v>2520</v>
      </c>
      <c r="P19" s="113">
        <v>10270</v>
      </c>
      <c r="Q19" s="112">
        <v>10570</v>
      </c>
      <c r="R19" s="112">
        <v>10120</v>
      </c>
      <c r="S19" s="112">
        <v>11420</v>
      </c>
      <c r="T19" s="112">
        <v>11920</v>
      </c>
      <c r="U19" s="112">
        <v>10570</v>
      </c>
      <c r="V19" s="112">
        <v>10120</v>
      </c>
      <c r="W19" s="112">
        <v>11420</v>
      </c>
      <c r="X19" s="112">
        <v>12720</v>
      </c>
      <c r="Y19" s="112">
        <v>10120</v>
      </c>
      <c r="Z19" s="112">
        <v>12870</v>
      </c>
      <c r="AA19" s="128">
        <v>11600</v>
      </c>
      <c r="AB19" s="115">
        <v>280</v>
      </c>
    </row>
    <row r="20" spans="1:28" x14ac:dyDescent="0.25">
      <c r="A20" s="32">
        <v>28</v>
      </c>
      <c r="B20" s="29">
        <v>1300</v>
      </c>
      <c r="C20" s="27" t="s">
        <v>1</v>
      </c>
      <c r="D20" s="32">
        <v>28</v>
      </c>
      <c r="E20" s="52">
        <v>98</v>
      </c>
      <c r="F20" s="7">
        <v>4.76</v>
      </c>
      <c r="G20" s="7">
        <v>9.6</v>
      </c>
      <c r="H20" s="7">
        <v>19.5</v>
      </c>
      <c r="I20" s="23">
        <f t="shared" si="0"/>
        <v>131.86000000000001</v>
      </c>
      <c r="J20" s="12">
        <f t="shared" si="1"/>
        <v>3692.0800000000004</v>
      </c>
      <c r="K20" s="138"/>
      <c r="L20" s="41">
        <v>28</v>
      </c>
      <c r="M20" s="105">
        <v>1400</v>
      </c>
      <c r="N20" s="107">
        <v>1960</v>
      </c>
      <c r="O20" s="105">
        <v>2520</v>
      </c>
      <c r="P20" s="113">
        <v>10270</v>
      </c>
      <c r="Q20" s="112">
        <v>10570</v>
      </c>
      <c r="R20" s="112">
        <v>10120</v>
      </c>
      <c r="S20" s="112">
        <v>11420</v>
      </c>
      <c r="T20" s="112">
        <v>11920</v>
      </c>
      <c r="U20" s="112">
        <v>10570</v>
      </c>
      <c r="V20" s="112">
        <v>10120</v>
      </c>
      <c r="W20" s="112">
        <v>11420</v>
      </c>
      <c r="X20" s="112">
        <v>12720</v>
      </c>
      <c r="Y20" s="112">
        <v>10120</v>
      </c>
      <c r="Z20" s="112">
        <v>12870</v>
      </c>
      <c r="AA20" s="128">
        <v>11600</v>
      </c>
      <c r="AB20" s="115">
        <v>280</v>
      </c>
    </row>
    <row r="21" spans="1:28" x14ac:dyDescent="0.25">
      <c r="A21" s="32">
        <v>30</v>
      </c>
      <c r="B21" s="29">
        <v>1300</v>
      </c>
      <c r="C21" s="27" t="s">
        <v>1</v>
      </c>
      <c r="D21" s="32">
        <v>30</v>
      </c>
      <c r="E21" s="52">
        <v>98</v>
      </c>
      <c r="F21" s="7">
        <v>4.76</v>
      </c>
      <c r="G21" s="7">
        <v>9.6</v>
      </c>
      <c r="H21" s="7">
        <v>19.5</v>
      </c>
      <c r="I21" s="23">
        <f t="shared" si="0"/>
        <v>131.86000000000001</v>
      </c>
      <c r="J21" s="12">
        <f t="shared" si="1"/>
        <v>3955.8</v>
      </c>
      <c r="K21" s="138"/>
      <c r="L21" s="41">
        <v>30</v>
      </c>
      <c r="M21" s="105">
        <v>1400</v>
      </c>
      <c r="N21" s="107">
        <v>1960</v>
      </c>
      <c r="O21" s="105">
        <v>2520</v>
      </c>
      <c r="P21" s="113">
        <v>10270</v>
      </c>
      <c r="Q21" s="112">
        <v>10570</v>
      </c>
      <c r="R21" s="112">
        <v>10120</v>
      </c>
      <c r="S21" s="112">
        <v>11420</v>
      </c>
      <c r="T21" s="112">
        <v>11920</v>
      </c>
      <c r="U21" s="112">
        <v>10570</v>
      </c>
      <c r="V21" s="112">
        <v>10120</v>
      </c>
      <c r="W21" s="112">
        <v>11420</v>
      </c>
      <c r="X21" s="112">
        <v>12720</v>
      </c>
      <c r="Y21" s="112">
        <v>10120</v>
      </c>
      <c r="Z21" s="112">
        <v>12870</v>
      </c>
      <c r="AA21" s="128">
        <v>11600</v>
      </c>
      <c r="AB21" s="115">
        <v>280</v>
      </c>
    </row>
    <row r="22" spans="1:28" x14ac:dyDescent="0.25">
      <c r="A22" s="32">
        <v>32</v>
      </c>
      <c r="B22" s="29">
        <v>1300</v>
      </c>
      <c r="C22" s="135" t="s">
        <v>124</v>
      </c>
      <c r="D22" s="32">
        <v>32</v>
      </c>
      <c r="E22" s="52">
        <v>98</v>
      </c>
      <c r="F22" s="7">
        <v>4.76</v>
      </c>
      <c r="G22" s="7">
        <v>9.6</v>
      </c>
      <c r="H22" s="7">
        <v>19.5</v>
      </c>
      <c r="I22" s="23">
        <f t="shared" si="0"/>
        <v>131.86000000000001</v>
      </c>
      <c r="J22" s="12">
        <f t="shared" si="1"/>
        <v>4219.5200000000004</v>
      </c>
      <c r="K22" s="138"/>
      <c r="L22" s="41">
        <v>32</v>
      </c>
      <c r="M22" s="105">
        <v>1600</v>
      </c>
      <c r="N22" s="107">
        <v>2240</v>
      </c>
      <c r="O22" s="105">
        <v>2880</v>
      </c>
      <c r="P22" s="113">
        <v>12680</v>
      </c>
      <c r="Q22" s="112">
        <v>11980</v>
      </c>
      <c r="R22" s="112">
        <v>12680</v>
      </c>
      <c r="S22" s="112">
        <v>12780</v>
      </c>
      <c r="T22" s="112">
        <v>13480</v>
      </c>
      <c r="U22" s="112">
        <v>12680</v>
      </c>
      <c r="V22" s="112">
        <v>12880</v>
      </c>
      <c r="W22" s="112">
        <v>12980</v>
      </c>
      <c r="X22" s="112">
        <v>14380</v>
      </c>
      <c r="Y22" s="112">
        <v>12680</v>
      </c>
      <c r="Z22" s="112">
        <v>14580</v>
      </c>
      <c r="AA22" s="129">
        <v>14200</v>
      </c>
      <c r="AB22" s="115">
        <v>320</v>
      </c>
    </row>
    <row r="23" spans="1:28" x14ac:dyDescent="0.25">
      <c r="A23" s="32">
        <v>34</v>
      </c>
      <c r="B23" s="29">
        <v>1500</v>
      </c>
      <c r="C23" s="135"/>
      <c r="D23" s="32">
        <v>34</v>
      </c>
      <c r="E23" s="52">
        <v>98</v>
      </c>
      <c r="F23" s="7">
        <v>4.76</v>
      </c>
      <c r="G23" s="7">
        <v>9.6</v>
      </c>
      <c r="H23" s="7">
        <v>19.5</v>
      </c>
      <c r="I23" s="23">
        <f t="shared" si="0"/>
        <v>131.86000000000001</v>
      </c>
      <c r="J23" s="12">
        <f t="shared" si="1"/>
        <v>4483.2400000000007</v>
      </c>
      <c r="K23" s="138"/>
      <c r="L23" s="41">
        <v>34</v>
      </c>
      <c r="M23" s="105">
        <v>1600</v>
      </c>
      <c r="N23" s="107">
        <v>2240</v>
      </c>
      <c r="O23" s="105">
        <v>2880</v>
      </c>
      <c r="P23" s="113">
        <v>12680</v>
      </c>
      <c r="Q23" s="112">
        <v>11980</v>
      </c>
      <c r="R23" s="112">
        <v>12680</v>
      </c>
      <c r="S23" s="112">
        <v>12780</v>
      </c>
      <c r="T23" s="112">
        <v>13480</v>
      </c>
      <c r="U23" s="112">
        <v>12680</v>
      </c>
      <c r="V23" s="112">
        <v>12880</v>
      </c>
      <c r="W23" s="112">
        <v>12980</v>
      </c>
      <c r="X23" s="112">
        <v>14380</v>
      </c>
      <c r="Y23" s="112">
        <v>12680</v>
      </c>
      <c r="Z23" s="112">
        <v>14580</v>
      </c>
      <c r="AA23" s="129">
        <v>14200</v>
      </c>
      <c r="AB23" s="115">
        <v>320</v>
      </c>
    </row>
    <row r="24" spans="1:28" x14ac:dyDescent="0.25">
      <c r="A24" s="33">
        <v>36</v>
      </c>
      <c r="B24" s="29">
        <v>1500</v>
      </c>
      <c r="C24" s="135"/>
      <c r="D24" s="33">
        <v>36</v>
      </c>
      <c r="E24" s="52">
        <v>98</v>
      </c>
      <c r="F24" s="7">
        <v>4.76</v>
      </c>
      <c r="G24" s="7">
        <v>9.6</v>
      </c>
      <c r="H24" s="7">
        <v>19.5</v>
      </c>
      <c r="I24" s="23">
        <f t="shared" si="0"/>
        <v>131.86000000000001</v>
      </c>
      <c r="J24" s="12">
        <f t="shared" si="1"/>
        <v>4746.9600000000009</v>
      </c>
      <c r="K24" s="138"/>
      <c r="L24" s="42">
        <v>36</v>
      </c>
      <c r="M24" s="105">
        <v>1600</v>
      </c>
      <c r="N24" s="107">
        <v>2240</v>
      </c>
      <c r="O24" s="105">
        <v>2880</v>
      </c>
      <c r="P24" s="113">
        <v>12680</v>
      </c>
      <c r="Q24" s="112">
        <v>11980</v>
      </c>
      <c r="R24" s="112">
        <v>12680</v>
      </c>
      <c r="S24" s="112">
        <v>12780</v>
      </c>
      <c r="T24" s="112">
        <v>13480</v>
      </c>
      <c r="U24" s="112">
        <v>12680</v>
      </c>
      <c r="V24" s="112">
        <v>12880</v>
      </c>
      <c r="W24" s="112">
        <v>12980</v>
      </c>
      <c r="X24" s="112">
        <v>14380</v>
      </c>
      <c r="Y24" s="112">
        <v>12680</v>
      </c>
      <c r="Z24" s="112">
        <v>14580</v>
      </c>
      <c r="AA24" s="129">
        <v>14200</v>
      </c>
      <c r="AB24" s="115">
        <v>320</v>
      </c>
    </row>
    <row r="25" spans="1:28" ht="15.75" thickBot="1" x14ac:dyDescent="0.3">
      <c r="A25" s="33">
        <v>38</v>
      </c>
      <c r="B25" s="29">
        <v>1500</v>
      </c>
      <c r="C25" s="135"/>
      <c r="D25" s="33">
        <v>38</v>
      </c>
      <c r="E25" s="52">
        <v>98</v>
      </c>
      <c r="F25" s="7">
        <v>4.76</v>
      </c>
      <c r="G25" s="7">
        <v>9.6</v>
      </c>
      <c r="H25" s="7">
        <v>19.5</v>
      </c>
      <c r="I25" s="23">
        <f t="shared" si="0"/>
        <v>131.86000000000001</v>
      </c>
      <c r="J25" s="12">
        <f t="shared" si="1"/>
        <v>5010.68</v>
      </c>
      <c r="K25" s="139"/>
      <c r="L25" s="42">
        <v>38</v>
      </c>
      <c r="M25" s="105">
        <v>1600</v>
      </c>
      <c r="N25" s="107">
        <v>2240</v>
      </c>
      <c r="O25" s="105">
        <v>2880</v>
      </c>
      <c r="P25" s="113">
        <v>12680</v>
      </c>
      <c r="Q25" s="112">
        <v>11980</v>
      </c>
      <c r="R25" s="112">
        <v>12680</v>
      </c>
      <c r="S25" s="112">
        <v>12780</v>
      </c>
      <c r="T25" s="112">
        <v>13480</v>
      </c>
      <c r="U25" s="112">
        <v>12680</v>
      </c>
      <c r="V25" s="112">
        <v>12880</v>
      </c>
      <c r="W25" s="112">
        <v>12980</v>
      </c>
      <c r="X25" s="112">
        <v>14380</v>
      </c>
      <c r="Y25" s="112">
        <v>12680</v>
      </c>
      <c r="Z25" s="112">
        <v>14580</v>
      </c>
      <c r="AA25" s="129">
        <v>14200</v>
      </c>
      <c r="AB25" s="115">
        <v>320</v>
      </c>
    </row>
    <row r="26" spans="1:28" x14ac:dyDescent="0.25">
      <c r="A26" s="34">
        <v>41</v>
      </c>
      <c r="B26" s="29">
        <v>1500</v>
      </c>
      <c r="C26" s="135"/>
      <c r="D26" s="34">
        <v>41</v>
      </c>
      <c r="E26" s="52">
        <v>98</v>
      </c>
      <c r="F26" s="7">
        <v>4.76</v>
      </c>
      <c r="G26" s="7">
        <v>9.6</v>
      </c>
      <c r="H26" s="7">
        <v>19.5</v>
      </c>
      <c r="I26" s="23">
        <f t="shared" si="0"/>
        <v>131.86000000000001</v>
      </c>
      <c r="J26" s="12">
        <f t="shared" si="1"/>
        <v>5406.26</v>
      </c>
      <c r="K26" s="137" t="s">
        <v>110</v>
      </c>
      <c r="L26" s="43">
        <v>41</v>
      </c>
      <c r="M26" s="105">
        <v>1600</v>
      </c>
      <c r="N26" s="107">
        <v>2240</v>
      </c>
      <c r="O26" s="105">
        <v>2880</v>
      </c>
      <c r="P26" s="113">
        <v>12680</v>
      </c>
      <c r="Q26" s="112">
        <v>11980</v>
      </c>
      <c r="R26" s="112">
        <v>12680</v>
      </c>
      <c r="S26" s="112">
        <v>12780</v>
      </c>
      <c r="T26" s="112">
        <v>13480</v>
      </c>
      <c r="U26" s="112">
        <v>12680</v>
      </c>
      <c r="V26" s="112">
        <v>12880</v>
      </c>
      <c r="W26" s="112">
        <v>12980</v>
      </c>
      <c r="X26" s="112">
        <v>14380</v>
      </c>
      <c r="Y26" s="112">
        <v>12680</v>
      </c>
      <c r="Z26" s="112">
        <v>14580</v>
      </c>
      <c r="AA26" s="129">
        <v>14200</v>
      </c>
      <c r="AB26" s="115">
        <v>320</v>
      </c>
    </row>
    <row r="27" spans="1:28" x14ac:dyDescent="0.25">
      <c r="A27" s="34">
        <v>44</v>
      </c>
      <c r="B27" s="29">
        <v>1500</v>
      </c>
      <c r="C27" s="135"/>
      <c r="D27" s="34">
        <v>44</v>
      </c>
      <c r="E27" s="52">
        <v>98</v>
      </c>
      <c r="F27" s="7">
        <v>4.76</v>
      </c>
      <c r="G27" s="7">
        <v>9.6</v>
      </c>
      <c r="H27" s="7">
        <v>19.5</v>
      </c>
      <c r="I27" s="23">
        <f t="shared" si="0"/>
        <v>131.86000000000001</v>
      </c>
      <c r="J27" s="12">
        <f t="shared" si="1"/>
        <v>5801.84</v>
      </c>
      <c r="K27" s="138"/>
      <c r="L27" s="43">
        <v>44</v>
      </c>
      <c r="M27" s="105">
        <v>1600</v>
      </c>
      <c r="N27" s="107">
        <v>2240</v>
      </c>
      <c r="O27" s="105">
        <v>2880</v>
      </c>
      <c r="P27" s="113">
        <v>12680</v>
      </c>
      <c r="Q27" s="112">
        <v>11980</v>
      </c>
      <c r="R27" s="112">
        <v>12680</v>
      </c>
      <c r="S27" s="112">
        <v>12780</v>
      </c>
      <c r="T27" s="112">
        <v>13480</v>
      </c>
      <c r="U27" s="112">
        <v>12680</v>
      </c>
      <c r="V27" s="112">
        <v>12880</v>
      </c>
      <c r="W27" s="112">
        <v>12980</v>
      </c>
      <c r="X27" s="112">
        <v>14380</v>
      </c>
      <c r="Y27" s="112">
        <v>12680</v>
      </c>
      <c r="Z27" s="112">
        <v>14580</v>
      </c>
      <c r="AA27" s="129">
        <v>14200</v>
      </c>
      <c r="AB27" s="115">
        <v>320</v>
      </c>
    </row>
    <row r="28" spans="1:28" x14ac:dyDescent="0.25">
      <c r="A28" s="34">
        <v>46</v>
      </c>
      <c r="B28" s="29">
        <v>1950</v>
      </c>
      <c r="C28" s="135"/>
      <c r="D28" s="34">
        <v>46</v>
      </c>
      <c r="E28" s="52">
        <v>98</v>
      </c>
      <c r="F28" s="7">
        <v>4.76</v>
      </c>
      <c r="G28" s="7">
        <v>9.6</v>
      </c>
      <c r="H28" s="7">
        <v>19.5</v>
      </c>
      <c r="I28" s="23">
        <f t="shared" si="0"/>
        <v>131.86000000000001</v>
      </c>
      <c r="J28" s="12">
        <f t="shared" si="1"/>
        <v>6065.56</v>
      </c>
      <c r="K28" s="138"/>
      <c r="L28" s="43">
        <v>46</v>
      </c>
      <c r="M28" s="105">
        <f>320*5</f>
        <v>1600</v>
      </c>
      <c r="N28" s="107">
        <v>2240</v>
      </c>
      <c r="O28" s="105">
        <v>2880</v>
      </c>
      <c r="P28" s="113">
        <v>12680</v>
      </c>
      <c r="Q28" s="112">
        <v>11980</v>
      </c>
      <c r="R28" s="112">
        <v>12680</v>
      </c>
      <c r="S28" s="112">
        <v>12780</v>
      </c>
      <c r="T28" s="112">
        <v>13480</v>
      </c>
      <c r="U28" s="112">
        <v>12680</v>
      </c>
      <c r="V28" s="112">
        <v>12880</v>
      </c>
      <c r="W28" s="112">
        <v>12980</v>
      </c>
      <c r="X28" s="112">
        <v>14380</v>
      </c>
      <c r="Y28" s="112">
        <v>12680</v>
      </c>
      <c r="Z28" s="112">
        <v>14580</v>
      </c>
      <c r="AA28" s="129">
        <v>14200</v>
      </c>
      <c r="AB28" s="115">
        <v>320</v>
      </c>
    </row>
    <row r="29" spans="1:28" x14ac:dyDescent="0.25">
      <c r="A29" s="34">
        <v>48</v>
      </c>
      <c r="B29" s="29">
        <v>1950</v>
      </c>
      <c r="C29" s="135"/>
      <c r="D29" s="34">
        <v>48</v>
      </c>
      <c r="E29" s="52">
        <v>98</v>
      </c>
      <c r="F29" s="7">
        <v>4.76</v>
      </c>
      <c r="G29" s="7">
        <v>9.6</v>
      </c>
      <c r="H29" s="7">
        <v>19.5</v>
      </c>
      <c r="I29" s="23">
        <f t="shared" si="0"/>
        <v>131.86000000000001</v>
      </c>
      <c r="J29" s="12">
        <f t="shared" si="1"/>
        <v>6329.2800000000007</v>
      </c>
      <c r="K29" s="138"/>
      <c r="L29" s="43">
        <v>48</v>
      </c>
      <c r="M29" s="105">
        <v>1750</v>
      </c>
      <c r="N29" s="107">
        <v>2450</v>
      </c>
      <c r="O29" s="105">
        <v>3150</v>
      </c>
      <c r="P29" s="113">
        <v>12800</v>
      </c>
      <c r="Q29" s="112">
        <v>12100</v>
      </c>
      <c r="R29" s="112">
        <v>12800</v>
      </c>
      <c r="S29" s="112">
        <v>12900</v>
      </c>
      <c r="T29" s="112">
        <v>13600</v>
      </c>
      <c r="U29" s="112">
        <v>12800</v>
      </c>
      <c r="V29" s="112">
        <v>13000</v>
      </c>
      <c r="W29" s="112">
        <v>13100</v>
      </c>
      <c r="X29" s="112">
        <v>14500</v>
      </c>
      <c r="Y29" s="112">
        <v>12800</v>
      </c>
      <c r="Z29" s="112">
        <v>15700</v>
      </c>
      <c r="AA29" s="129">
        <v>14200</v>
      </c>
      <c r="AB29" s="115">
        <v>350</v>
      </c>
    </row>
    <row r="30" spans="1:28" x14ac:dyDescent="0.25">
      <c r="A30" s="34">
        <v>50</v>
      </c>
      <c r="B30" s="29">
        <v>1950</v>
      </c>
      <c r="C30" s="135"/>
      <c r="D30" s="34">
        <v>50</v>
      </c>
      <c r="E30" s="52">
        <v>98</v>
      </c>
      <c r="F30" s="7">
        <v>4.76</v>
      </c>
      <c r="G30" s="7">
        <v>9.6</v>
      </c>
      <c r="H30" s="7">
        <v>19.5</v>
      </c>
      <c r="I30" s="23">
        <f t="shared" si="0"/>
        <v>131.86000000000001</v>
      </c>
      <c r="J30" s="12">
        <f t="shared" si="1"/>
        <v>6593.0000000000009</v>
      </c>
      <c r="K30" s="138"/>
      <c r="L30" s="43">
        <v>50</v>
      </c>
      <c r="M30" s="105">
        <v>1750</v>
      </c>
      <c r="N30" s="107">
        <v>2450</v>
      </c>
      <c r="O30" s="105">
        <v>3150</v>
      </c>
      <c r="P30" s="113">
        <v>12800</v>
      </c>
      <c r="Q30" s="112">
        <v>12100</v>
      </c>
      <c r="R30" s="112">
        <v>12800</v>
      </c>
      <c r="S30" s="112">
        <v>12900</v>
      </c>
      <c r="T30" s="112">
        <v>13600</v>
      </c>
      <c r="U30" s="112">
        <v>12800</v>
      </c>
      <c r="V30" s="112">
        <v>13000</v>
      </c>
      <c r="W30" s="112">
        <v>13100</v>
      </c>
      <c r="X30" s="112">
        <v>14500</v>
      </c>
      <c r="Y30" s="112">
        <v>12800</v>
      </c>
      <c r="Z30" s="112">
        <v>15700</v>
      </c>
      <c r="AA30" s="129">
        <v>16200</v>
      </c>
      <c r="AB30" s="115">
        <v>350</v>
      </c>
    </row>
    <row r="31" spans="1:28" x14ac:dyDescent="0.25">
      <c r="A31" s="34">
        <v>52</v>
      </c>
      <c r="B31" s="29">
        <v>1950</v>
      </c>
      <c r="C31" s="135"/>
      <c r="D31" s="34">
        <v>52</v>
      </c>
      <c r="E31" s="52">
        <v>98</v>
      </c>
      <c r="F31" s="7">
        <v>4.76</v>
      </c>
      <c r="G31" s="7">
        <v>9.6</v>
      </c>
      <c r="H31" s="7">
        <v>19.5</v>
      </c>
      <c r="I31" s="23">
        <f t="shared" si="0"/>
        <v>131.86000000000001</v>
      </c>
      <c r="J31" s="12">
        <f t="shared" si="1"/>
        <v>6856.7200000000012</v>
      </c>
      <c r="K31" s="138"/>
      <c r="L31" s="43">
        <v>52</v>
      </c>
      <c r="M31" s="105">
        <v>2000</v>
      </c>
      <c r="N31" s="107">
        <v>2800</v>
      </c>
      <c r="O31" s="105">
        <v>3600</v>
      </c>
      <c r="P31" s="113">
        <v>14500</v>
      </c>
      <c r="Q31" s="112">
        <v>14500</v>
      </c>
      <c r="R31" s="112">
        <v>15000</v>
      </c>
      <c r="S31" s="112">
        <v>16200</v>
      </c>
      <c r="T31" s="112">
        <v>16000</v>
      </c>
      <c r="U31" s="112">
        <v>14500</v>
      </c>
      <c r="V31" s="112">
        <v>14500</v>
      </c>
      <c r="W31" s="112">
        <v>15750</v>
      </c>
      <c r="X31" s="112">
        <v>16000</v>
      </c>
      <c r="Y31" s="112">
        <v>15000</v>
      </c>
      <c r="Z31" s="112">
        <v>16500</v>
      </c>
      <c r="AA31" s="129">
        <v>18500</v>
      </c>
      <c r="AB31" s="115">
        <v>400</v>
      </c>
    </row>
    <row r="32" spans="1:28" x14ac:dyDescent="0.25">
      <c r="A32" s="34">
        <v>57</v>
      </c>
      <c r="B32" s="29">
        <v>2300</v>
      </c>
      <c r="C32" s="135"/>
      <c r="D32" s="34">
        <v>57</v>
      </c>
      <c r="E32" s="52">
        <v>98</v>
      </c>
      <c r="F32" s="7">
        <v>4.76</v>
      </c>
      <c r="G32" s="7">
        <v>9.6</v>
      </c>
      <c r="H32" s="7">
        <v>19.5</v>
      </c>
      <c r="I32" s="23">
        <f t="shared" si="0"/>
        <v>131.86000000000001</v>
      </c>
      <c r="J32" s="12">
        <f t="shared" si="1"/>
        <v>7516.02</v>
      </c>
      <c r="K32" s="138"/>
      <c r="L32" s="43">
        <v>57</v>
      </c>
      <c r="M32" s="105">
        <v>2000</v>
      </c>
      <c r="N32" s="107">
        <v>2800</v>
      </c>
      <c r="O32" s="105">
        <v>3600</v>
      </c>
      <c r="P32" s="113">
        <v>16000</v>
      </c>
      <c r="Q32" s="112">
        <v>16000</v>
      </c>
      <c r="R32" s="112">
        <v>16500</v>
      </c>
      <c r="S32" s="112">
        <v>17250</v>
      </c>
      <c r="T32" s="112">
        <v>17500</v>
      </c>
      <c r="U32" s="112">
        <v>16000</v>
      </c>
      <c r="V32" s="112">
        <v>17500</v>
      </c>
      <c r="W32" s="112">
        <v>17500</v>
      </c>
      <c r="X32" s="112">
        <v>20000</v>
      </c>
      <c r="Y32" s="112">
        <v>17000</v>
      </c>
      <c r="Z32" s="112">
        <v>20500</v>
      </c>
      <c r="AA32" s="129">
        <v>18500</v>
      </c>
      <c r="AB32" s="115">
        <v>450</v>
      </c>
    </row>
    <row r="33" spans="1:28" ht="15.75" thickBot="1" x14ac:dyDescent="0.3">
      <c r="A33" s="35">
        <v>59</v>
      </c>
      <c r="B33" s="30">
        <v>2300</v>
      </c>
      <c r="C33" s="136"/>
      <c r="D33" s="35">
        <v>59</v>
      </c>
      <c r="E33" s="53">
        <v>98</v>
      </c>
      <c r="F33" s="9">
        <v>4.76</v>
      </c>
      <c r="G33" s="9">
        <v>9.6</v>
      </c>
      <c r="H33" s="9">
        <v>19.5</v>
      </c>
      <c r="I33" s="24">
        <f t="shared" si="0"/>
        <v>131.86000000000001</v>
      </c>
      <c r="J33" s="13">
        <f t="shared" si="1"/>
        <v>7779.7400000000007</v>
      </c>
      <c r="K33" s="139"/>
      <c r="L33" s="44">
        <v>59</v>
      </c>
      <c r="M33" s="106">
        <v>2000</v>
      </c>
      <c r="N33" s="107">
        <v>2800</v>
      </c>
      <c r="O33" s="106">
        <v>3600</v>
      </c>
      <c r="P33" s="130">
        <v>16000</v>
      </c>
      <c r="Q33" s="123">
        <v>16000</v>
      </c>
      <c r="R33" s="123">
        <v>16500</v>
      </c>
      <c r="S33" s="123">
        <v>17250</v>
      </c>
      <c r="T33" s="123">
        <v>17500</v>
      </c>
      <c r="U33" s="123">
        <v>16000</v>
      </c>
      <c r="V33" s="123">
        <v>17500</v>
      </c>
      <c r="W33" s="123">
        <v>17500</v>
      </c>
      <c r="X33" s="123">
        <v>20000</v>
      </c>
      <c r="Y33" s="123">
        <v>17000</v>
      </c>
      <c r="Z33" s="123">
        <v>20500</v>
      </c>
      <c r="AA33" s="131">
        <v>18500</v>
      </c>
      <c r="AB33" s="124">
        <v>450</v>
      </c>
    </row>
    <row r="34" spans="1:28" ht="15.75" thickBot="1" x14ac:dyDescent="0.3">
      <c r="A34" s="17"/>
      <c r="B34" s="2"/>
      <c r="C34" s="18"/>
      <c r="D34" s="17"/>
      <c r="E34" s="2"/>
      <c r="F34" s="2"/>
      <c r="G34" s="2"/>
      <c r="H34" s="2"/>
      <c r="I34" s="2"/>
      <c r="J34" s="2"/>
      <c r="K34" s="18"/>
      <c r="L34" s="140" t="s">
        <v>113</v>
      </c>
      <c r="M34" s="141"/>
      <c r="N34" s="141"/>
      <c r="O34" s="141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3"/>
    </row>
    <row r="35" spans="1:28" x14ac:dyDescent="0.25">
      <c r="A35" s="17"/>
      <c r="B35" s="2"/>
      <c r="C35" s="18"/>
      <c r="D35" s="17"/>
      <c r="E35" s="2"/>
      <c r="F35" s="19"/>
      <c r="G35" s="19"/>
      <c r="H35" s="19"/>
      <c r="I35" s="20"/>
      <c r="J35" s="2"/>
      <c r="K35" s="18"/>
      <c r="L35" s="17"/>
      <c r="M35" s="17"/>
      <c r="N35" s="17"/>
      <c r="O35" s="17"/>
    </row>
    <row r="36" spans="1:28" ht="23.25" x14ac:dyDescent="0.35">
      <c r="A36" s="144" t="s">
        <v>19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</row>
    <row r="37" spans="1:28" ht="15" customHeight="1" x14ac:dyDescent="0.3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</row>
    <row r="38" spans="1:28" ht="15.75" x14ac:dyDescent="0.25">
      <c r="A38" s="37" t="s">
        <v>18</v>
      </c>
      <c r="B38" s="5"/>
      <c r="C38" s="5"/>
      <c r="F38" s="6"/>
      <c r="G38" s="6"/>
      <c r="H38" s="38" t="s">
        <v>31</v>
      </c>
      <c r="I38" s="6"/>
      <c r="J38" s="6"/>
      <c r="K38" s="6"/>
      <c r="L38" s="6"/>
      <c r="M38" s="6"/>
      <c r="N38" s="6"/>
      <c r="O38" s="6"/>
    </row>
    <row r="39" spans="1:28" x14ac:dyDescent="0.25">
      <c r="A39" s="4" t="s">
        <v>127</v>
      </c>
      <c r="B39" s="5"/>
      <c r="C39" s="5"/>
      <c r="F39" s="6"/>
      <c r="G39" s="6"/>
      <c r="H39" t="s">
        <v>33</v>
      </c>
      <c r="I39" s="6"/>
      <c r="J39" s="6"/>
      <c r="K39" s="6"/>
      <c r="L39" s="6"/>
      <c r="M39" s="6"/>
      <c r="N39" s="6"/>
      <c r="O39" s="6"/>
    </row>
    <row r="40" spans="1:28" x14ac:dyDescent="0.25">
      <c r="A40" s="4" t="s">
        <v>115</v>
      </c>
      <c r="H40" s="1" t="s">
        <v>2</v>
      </c>
      <c r="J40" s="3"/>
    </row>
    <row r="41" spans="1:28" x14ac:dyDescent="0.25">
      <c r="A41" s="4" t="s">
        <v>65</v>
      </c>
      <c r="H41" s="1" t="s">
        <v>59</v>
      </c>
      <c r="J41" s="3"/>
    </row>
    <row r="42" spans="1:28" x14ac:dyDescent="0.25">
      <c r="A42" s="4" t="s">
        <v>116</v>
      </c>
      <c r="H42" s="1" t="s">
        <v>60</v>
      </c>
      <c r="J42" s="3"/>
    </row>
    <row r="43" spans="1:28" x14ac:dyDescent="0.25">
      <c r="A43" s="4" t="s">
        <v>117</v>
      </c>
      <c r="D43" s="5"/>
      <c r="E43" s="5"/>
      <c r="H43" t="s">
        <v>61</v>
      </c>
      <c r="J43" s="3"/>
    </row>
    <row r="44" spans="1:28" x14ac:dyDescent="0.25">
      <c r="A44" s="4"/>
      <c r="D44" s="5"/>
      <c r="E44" s="116"/>
      <c r="H44" t="s">
        <v>112</v>
      </c>
      <c r="I44" s="2"/>
      <c r="J44" s="2"/>
    </row>
    <row r="45" spans="1:28" x14ac:dyDescent="0.25">
      <c r="A45" s="118" t="s">
        <v>118</v>
      </c>
      <c r="B45" s="118" t="s">
        <v>119</v>
      </c>
      <c r="D45" s="6"/>
      <c r="E45" s="117"/>
      <c r="H45" t="s">
        <v>4</v>
      </c>
      <c r="I45" s="2"/>
      <c r="J45" s="2"/>
    </row>
    <row r="46" spans="1:28" x14ac:dyDescent="0.25">
      <c r="A46" s="103" t="s">
        <v>123</v>
      </c>
      <c r="B46" s="116">
        <v>500</v>
      </c>
      <c r="E46" s="117"/>
      <c r="H46" t="s">
        <v>66</v>
      </c>
    </row>
    <row r="47" spans="1:28" x14ac:dyDescent="0.25">
      <c r="A47" s="21" t="s">
        <v>120</v>
      </c>
      <c r="B47" s="117">
        <v>600</v>
      </c>
      <c r="E47" s="117"/>
    </row>
    <row r="48" spans="1:28" x14ac:dyDescent="0.25">
      <c r="A48" s="21" t="s">
        <v>121</v>
      </c>
      <c r="B48" s="117">
        <v>1100</v>
      </c>
    </row>
    <row r="49" spans="1:15" ht="15.75" x14ac:dyDescent="0.25">
      <c r="A49" s="21" t="s">
        <v>122</v>
      </c>
      <c r="B49" s="117">
        <v>800</v>
      </c>
      <c r="H49" s="38" t="s">
        <v>24</v>
      </c>
    </row>
    <row r="50" spans="1:15" x14ac:dyDescent="0.25">
      <c r="B50" s="117"/>
      <c r="H50" t="s">
        <v>25</v>
      </c>
      <c r="I50" s="2"/>
      <c r="J50" s="2"/>
    </row>
    <row r="51" spans="1:15" ht="15.75" x14ac:dyDescent="0.25">
      <c r="A51" s="39" t="s">
        <v>20</v>
      </c>
      <c r="H51" t="s">
        <v>27</v>
      </c>
      <c r="I51" s="2"/>
      <c r="J51" s="2"/>
    </row>
    <row r="52" spans="1:15" x14ac:dyDescent="0.25">
      <c r="A52" s="4" t="s">
        <v>22</v>
      </c>
      <c r="H52" t="s">
        <v>64</v>
      </c>
      <c r="I52" s="2"/>
      <c r="J52" s="2"/>
    </row>
    <row r="53" spans="1:15" x14ac:dyDescent="0.25">
      <c r="A53" s="4" t="s">
        <v>23</v>
      </c>
      <c r="H53" t="s">
        <v>28</v>
      </c>
      <c r="I53" s="2"/>
      <c r="J53" s="2"/>
    </row>
    <row r="54" spans="1:15" x14ac:dyDescent="0.25">
      <c r="A54" s="4" t="s">
        <v>111</v>
      </c>
      <c r="H54" t="s">
        <v>39</v>
      </c>
      <c r="I54" s="2"/>
      <c r="J54" s="2"/>
    </row>
    <row r="55" spans="1:15" x14ac:dyDescent="0.25">
      <c r="A55" s="4" t="s">
        <v>21</v>
      </c>
      <c r="H55" t="s">
        <v>129</v>
      </c>
    </row>
    <row r="56" spans="1:15" x14ac:dyDescent="0.25">
      <c r="A56" s="4" t="s">
        <v>32</v>
      </c>
    </row>
    <row r="57" spans="1:15" x14ac:dyDescent="0.25">
      <c r="A57" s="4" t="s">
        <v>37</v>
      </c>
    </row>
    <row r="58" spans="1:15" x14ac:dyDescent="0.25">
      <c r="A58" s="4" t="s">
        <v>128</v>
      </c>
      <c r="H58" s="103"/>
      <c r="I58" s="103"/>
      <c r="J58" s="103"/>
      <c r="K58" s="103"/>
      <c r="L58" s="103"/>
      <c r="M58" s="103"/>
    </row>
    <row r="59" spans="1:15" x14ac:dyDescent="0.25">
      <c r="A59" s="4" t="s">
        <v>35</v>
      </c>
      <c r="B59" s="103"/>
      <c r="C59" s="103"/>
      <c r="E59" s="103"/>
      <c r="F59" s="103"/>
      <c r="G59" s="103"/>
      <c r="H59" s="104"/>
      <c r="I59" s="104"/>
      <c r="J59" s="104"/>
      <c r="K59" s="104"/>
      <c r="L59" s="104"/>
      <c r="M59" s="104"/>
      <c r="N59" s="103"/>
      <c r="O59" s="103"/>
    </row>
    <row r="60" spans="1:15" x14ac:dyDescent="0.25">
      <c r="A60" s="4" t="s">
        <v>62</v>
      </c>
      <c r="B60" s="104"/>
      <c r="C60" s="104"/>
      <c r="D60" s="103"/>
      <c r="E60" s="104"/>
      <c r="F60" s="104"/>
      <c r="G60" s="104"/>
      <c r="H60" s="21"/>
      <c r="I60" s="21"/>
      <c r="J60" s="21"/>
      <c r="K60" s="21"/>
      <c r="L60" s="21"/>
      <c r="M60" s="21"/>
      <c r="N60" s="104"/>
      <c r="O60" s="104"/>
    </row>
    <row r="61" spans="1:15" x14ac:dyDescent="0.25">
      <c r="A61" s="4" t="s">
        <v>63</v>
      </c>
      <c r="B61" s="21"/>
      <c r="C61" s="21"/>
      <c r="D61" s="104"/>
      <c r="E61" s="21"/>
      <c r="F61" s="21"/>
      <c r="G61" s="21"/>
      <c r="N61" s="21"/>
      <c r="O61" s="21"/>
    </row>
    <row r="62" spans="1:15" x14ac:dyDescent="0.25">
      <c r="A62" s="4" t="s">
        <v>65</v>
      </c>
      <c r="D62" s="21"/>
    </row>
    <row r="63" spans="1:15" x14ac:dyDescent="0.25">
      <c r="A63" s="4"/>
    </row>
    <row r="64" spans="1:15" x14ac:dyDescent="0.25">
      <c r="A64" s="6" t="s">
        <v>26</v>
      </c>
    </row>
    <row r="65" spans="1:1" x14ac:dyDescent="0.25">
      <c r="A65" s="64" t="s">
        <v>34</v>
      </c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4"/>
    </row>
  </sheetData>
  <mergeCells count="11">
    <mergeCell ref="A1:O6"/>
    <mergeCell ref="P1:AB6"/>
    <mergeCell ref="A7:B7"/>
    <mergeCell ref="D7:J7"/>
    <mergeCell ref="L7:O7"/>
    <mergeCell ref="P7:AB7"/>
    <mergeCell ref="C22:C33"/>
    <mergeCell ref="K9:K25"/>
    <mergeCell ref="K26:K33"/>
    <mergeCell ref="L34:AB34"/>
    <mergeCell ref="A36:O36"/>
  </mergeCells>
  <pageMargins left="0.7" right="0.7" top="0.75" bottom="0.75" header="0.3" footer="0.3"/>
  <pageSetup scale="37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F9749-6E01-44B2-8CE8-2C154F996053}">
  <sheetPr>
    <pageSetUpPr fitToPage="1"/>
  </sheetPr>
  <dimension ref="A1:AB75"/>
  <sheetViews>
    <sheetView topLeftCell="F6" workbookViewId="0">
      <selection activeCell="Y31" sqref="Y31"/>
    </sheetView>
  </sheetViews>
  <sheetFormatPr defaultRowHeight="15" x14ac:dyDescent="0.25"/>
  <cols>
    <col min="1" max="1" width="8.42578125" customWidth="1"/>
    <col min="2" max="2" width="16.5703125" customWidth="1"/>
    <col min="3" max="3" width="18.85546875" customWidth="1"/>
    <col min="4" max="4" width="14.7109375" customWidth="1"/>
    <col min="5" max="5" width="10.5703125" bestFit="1" customWidth="1"/>
    <col min="6" max="6" width="8" bestFit="1" customWidth="1"/>
    <col min="7" max="7" width="10" bestFit="1" customWidth="1"/>
    <col min="8" max="8" width="11.28515625" bestFit="1" customWidth="1"/>
    <col min="9" max="9" width="10.42578125" customWidth="1"/>
    <col min="10" max="10" width="12.7109375" customWidth="1"/>
    <col min="11" max="11" width="17.140625" customWidth="1"/>
    <col min="12" max="12" width="9.7109375" customWidth="1"/>
    <col min="13" max="13" width="13.42578125" customWidth="1"/>
    <col min="14" max="14" width="11" bestFit="1" customWidth="1"/>
    <col min="15" max="15" width="12.42578125" customWidth="1"/>
    <col min="16" max="17" width="11" bestFit="1" customWidth="1"/>
    <col min="18" max="18" width="11.140625" bestFit="1" customWidth="1"/>
    <col min="19" max="19" width="11.28515625" bestFit="1" customWidth="1"/>
    <col min="20" max="20" width="10.85546875" customWidth="1"/>
    <col min="21" max="25" width="11" bestFit="1" customWidth="1"/>
    <col min="26" max="27" width="10.85546875" customWidth="1"/>
    <col min="28" max="28" width="10.85546875" bestFit="1" customWidth="1"/>
  </cols>
  <sheetData>
    <row r="1" spans="1:28" ht="15" customHeight="1" x14ac:dyDescent="0.25">
      <c r="A1" s="145" t="s">
        <v>130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7"/>
      <c r="P1" s="154" t="s">
        <v>67</v>
      </c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6"/>
    </row>
    <row r="2" spans="1:28" ht="15" customHeight="1" x14ac:dyDescent="0.25">
      <c r="A2" s="148"/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50"/>
      <c r="P2" s="157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9"/>
    </row>
    <row r="3" spans="1:28" ht="15" customHeight="1" x14ac:dyDescent="0.25">
      <c r="A3" s="148"/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50"/>
      <c r="P3" s="157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</row>
    <row r="4" spans="1:28" ht="15" customHeight="1" x14ac:dyDescent="0.25">
      <c r="A4" s="148"/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50"/>
      <c r="P4" s="157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9"/>
    </row>
    <row r="5" spans="1:28" ht="15" customHeight="1" x14ac:dyDescent="0.25">
      <c r="A5" s="148"/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50"/>
      <c r="P5" s="157"/>
      <c r="Q5" s="158"/>
      <c r="R5" s="158"/>
      <c r="S5" s="158"/>
      <c r="T5" s="158"/>
      <c r="U5" s="158"/>
      <c r="V5" s="158"/>
      <c r="W5" s="158"/>
      <c r="X5" s="158"/>
      <c r="Y5" s="158"/>
      <c r="Z5" s="158"/>
      <c r="AA5" s="158"/>
      <c r="AB5" s="159"/>
    </row>
    <row r="6" spans="1:28" ht="15.75" customHeight="1" thickBot="1" x14ac:dyDescent="0.3">
      <c r="A6" s="151"/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3"/>
      <c r="P6" s="160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2"/>
    </row>
    <row r="7" spans="1:28" ht="15.75" thickBot="1" x14ac:dyDescent="0.3">
      <c r="A7" s="163" t="s">
        <v>17</v>
      </c>
      <c r="B7" s="164"/>
      <c r="C7" s="14" t="s">
        <v>30</v>
      </c>
      <c r="D7" s="163" t="s">
        <v>10</v>
      </c>
      <c r="E7" s="165"/>
      <c r="F7" s="165"/>
      <c r="G7" s="165"/>
      <c r="H7" s="165"/>
      <c r="I7" s="165"/>
      <c r="J7" s="164"/>
      <c r="K7" s="15" t="s">
        <v>29</v>
      </c>
      <c r="L7" s="163" t="s">
        <v>12</v>
      </c>
      <c r="M7" s="165"/>
      <c r="N7" s="165"/>
      <c r="O7" s="164"/>
      <c r="P7" s="166" t="s">
        <v>36</v>
      </c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8"/>
    </row>
    <row r="8" spans="1:28" s="1" customFormat="1" ht="60.75" thickBot="1" x14ac:dyDescent="0.3">
      <c r="A8" s="55" t="s">
        <v>71</v>
      </c>
      <c r="B8" s="56" t="s">
        <v>9</v>
      </c>
      <c r="C8" s="57" t="s">
        <v>11</v>
      </c>
      <c r="D8" s="55" t="s">
        <v>72</v>
      </c>
      <c r="E8" s="58" t="s">
        <v>0</v>
      </c>
      <c r="F8" s="59" t="s">
        <v>5</v>
      </c>
      <c r="G8" s="59" t="s">
        <v>6</v>
      </c>
      <c r="H8" s="59" t="s">
        <v>7</v>
      </c>
      <c r="I8" s="60" t="s">
        <v>8</v>
      </c>
      <c r="J8" s="61" t="s">
        <v>13</v>
      </c>
      <c r="K8" s="61" t="s">
        <v>68</v>
      </c>
      <c r="L8" s="55" t="s">
        <v>71</v>
      </c>
      <c r="M8" s="56" t="s">
        <v>126</v>
      </c>
      <c r="N8" s="62" t="s">
        <v>15</v>
      </c>
      <c r="O8" s="62" t="s">
        <v>114</v>
      </c>
      <c r="P8" s="110" t="s">
        <v>52</v>
      </c>
      <c r="Q8" s="110" t="s">
        <v>51</v>
      </c>
      <c r="R8" s="110" t="s">
        <v>47</v>
      </c>
      <c r="S8" s="110" t="s">
        <v>48</v>
      </c>
      <c r="T8" s="110" t="s">
        <v>49</v>
      </c>
      <c r="U8" s="110" t="s">
        <v>54</v>
      </c>
      <c r="V8" s="110" t="s">
        <v>44</v>
      </c>
      <c r="W8" s="110" t="s">
        <v>46</v>
      </c>
      <c r="X8" s="110" t="s">
        <v>53</v>
      </c>
      <c r="Y8" s="110" t="s">
        <v>45</v>
      </c>
      <c r="Z8" s="111" t="s">
        <v>55</v>
      </c>
      <c r="AA8" s="110" t="s">
        <v>50</v>
      </c>
      <c r="AB8" s="10" t="s">
        <v>56</v>
      </c>
    </row>
    <row r="9" spans="1:28" ht="15" customHeight="1" x14ac:dyDescent="0.25">
      <c r="A9" s="31">
        <v>3</v>
      </c>
      <c r="B9" s="28">
        <v>1050</v>
      </c>
      <c r="C9" s="26" t="s">
        <v>1</v>
      </c>
      <c r="D9" s="31">
        <v>3</v>
      </c>
      <c r="E9" s="132">
        <v>155</v>
      </c>
      <c r="F9" s="25">
        <v>4.76</v>
      </c>
      <c r="G9" s="8">
        <v>9.6</v>
      </c>
      <c r="H9" s="8">
        <v>45.25</v>
      </c>
      <c r="I9" s="22">
        <f t="shared" ref="I9:I33" si="0">SUM(E9:H9)</f>
        <v>214.60999999999999</v>
      </c>
      <c r="J9" s="11">
        <f t="shared" ref="J9:J33" si="1">I9*D9</f>
        <v>643.82999999999993</v>
      </c>
      <c r="K9" s="137" t="s">
        <v>135</v>
      </c>
      <c r="L9" s="31">
        <v>3</v>
      </c>
      <c r="M9" s="108">
        <v>975</v>
      </c>
      <c r="N9" s="109">
        <v>1365</v>
      </c>
      <c r="O9" s="108">
        <v>1755</v>
      </c>
      <c r="P9" s="125">
        <v>9930</v>
      </c>
      <c r="Q9" s="120">
        <v>10230</v>
      </c>
      <c r="R9" s="120">
        <v>9780</v>
      </c>
      <c r="S9" s="120">
        <v>11080</v>
      </c>
      <c r="T9" s="120">
        <v>11580</v>
      </c>
      <c r="U9" s="120">
        <v>10230</v>
      </c>
      <c r="V9" s="120">
        <v>9780</v>
      </c>
      <c r="W9" s="120">
        <v>11080</v>
      </c>
      <c r="X9" s="120">
        <v>12380</v>
      </c>
      <c r="Y9" s="120">
        <v>9780</v>
      </c>
      <c r="Z9" s="120">
        <v>12280</v>
      </c>
      <c r="AA9" s="126">
        <v>10785</v>
      </c>
      <c r="AB9" s="121">
        <v>195</v>
      </c>
    </row>
    <row r="10" spans="1:28" ht="15" customHeight="1" x14ac:dyDescent="0.25">
      <c r="A10" s="32">
        <v>5</v>
      </c>
      <c r="B10" s="29">
        <v>1050</v>
      </c>
      <c r="C10" s="27" t="s">
        <v>1</v>
      </c>
      <c r="D10" s="32">
        <v>5</v>
      </c>
      <c r="E10" s="133">
        <v>155</v>
      </c>
      <c r="F10" s="7">
        <v>4.76</v>
      </c>
      <c r="G10" s="7">
        <v>9.6</v>
      </c>
      <c r="H10" s="7">
        <v>45.25</v>
      </c>
      <c r="I10" s="23">
        <f t="shared" si="0"/>
        <v>214.60999999999999</v>
      </c>
      <c r="J10" s="12">
        <f t="shared" si="1"/>
        <v>1073.05</v>
      </c>
      <c r="K10" s="138"/>
      <c r="L10" s="32">
        <v>5</v>
      </c>
      <c r="M10" s="105">
        <v>975</v>
      </c>
      <c r="N10" s="107">
        <v>1365</v>
      </c>
      <c r="O10" s="105">
        <v>1755</v>
      </c>
      <c r="P10" s="127">
        <v>9930</v>
      </c>
      <c r="Q10" s="119">
        <v>10230</v>
      </c>
      <c r="R10" s="119">
        <v>9780</v>
      </c>
      <c r="S10" s="119">
        <v>11080</v>
      </c>
      <c r="T10" s="119">
        <v>11580</v>
      </c>
      <c r="U10" s="119">
        <v>10230</v>
      </c>
      <c r="V10" s="119">
        <v>9780</v>
      </c>
      <c r="W10" s="119">
        <v>11080</v>
      </c>
      <c r="X10" s="119">
        <v>12380</v>
      </c>
      <c r="Y10" s="119">
        <v>9780</v>
      </c>
      <c r="Z10" s="119">
        <v>12280</v>
      </c>
      <c r="AA10" s="128">
        <v>10785</v>
      </c>
      <c r="AB10" s="122">
        <v>195</v>
      </c>
    </row>
    <row r="11" spans="1:28" ht="15" customHeight="1" x14ac:dyDescent="0.25">
      <c r="A11" s="32">
        <v>7</v>
      </c>
      <c r="B11" s="29">
        <v>1050</v>
      </c>
      <c r="C11" s="27" t="s">
        <v>1</v>
      </c>
      <c r="D11" s="32">
        <v>7</v>
      </c>
      <c r="E11" s="133">
        <v>155</v>
      </c>
      <c r="F11" s="7">
        <v>4.76</v>
      </c>
      <c r="G11" s="7">
        <v>9.6</v>
      </c>
      <c r="H11" s="7">
        <v>45.25</v>
      </c>
      <c r="I11" s="23">
        <f t="shared" si="0"/>
        <v>214.60999999999999</v>
      </c>
      <c r="J11" s="12">
        <f t="shared" si="1"/>
        <v>1502.27</v>
      </c>
      <c r="K11" s="138"/>
      <c r="L11" s="32">
        <v>7</v>
      </c>
      <c r="M11" s="105">
        <v>975</v>
      </c>
      <c r="N11" s="107">
        <v>1365</v>
      </c>
      <c r="O11" s="105">
        <v>1755</v>
      </c>
      <c r="P11" s="127">
        <v>9930</v>
      </c>
      <c r="Q11" s="119">
        <v>10230</v>
      </c>
      <c r="R11" s="119">
        <v>9780</v>
      </c>
      <c r="S11" s="119">
        <v>11080</v>
      </c>
      <c r="T11" s="119">
        <v>11580</v>
      </c>
      <c r="U11" s="119">
        <v>10230</v>
      </c>
      <c r="V11" s="119">
        <v>9780</v>
      </c>
      <c r="W11" s="119">
        <v>11080</v>
      </c>
      <c r="X11" s="119">
        <v>12380</v>
      </c>
      <c r="Y11" s="119">
        <v>9780</v>
      </c>
      <c r="Z11" s="119">
        <v>12280</v>
      </c>
      <c r="AA11" s="128">
        <v>10785</v>
      </c>
      <c r="AB11" s="122">
        <v>195</v>
      </c>
    </row>
    <row r="12" spans="1:28" ht="15" customHeight="1" x14ac:dyDescent="0.25">
      <c r="A12" s="32">
        <v>10</v>
      </c>
      <c r="B12" s="29">
        <v>1050</v>
      </c>
      <c r="C12" s="27" t="s">
        <v>1</v>
      </c>
      <c r="D12" s="32">
        <v>10</v>
      </c>
      <c r="E12" s="133">
        <v>155</v>
      </c>
      <c r="F12" s="7">
        <v>4.76</v>
      </c>
      <c r="G12" s="7">
        <v>9.6</v>
      </c>
      <c r="H12" s="7">
        <v>45.25</v>
      </c>
      <c r="I12" s="23">
        <f t="shared" si="0"/>
        <v>214.60999999999999</v>
      </c>
      <c r="J12" s="12">
        <f t="shared" si="1"/>
        <v>2146.1</v>
      </c>
      <c r="K12" s="138"/>
      <c r="L12" s="32">
        <v>10</v>
      </c>
      <c r="M12" s="105">
        <v>975</v>
      </c>
      <c r="N12" s="107">
        <v>1365</v>
      </c>
      <c r="O12" s="105">
        <v>1755</v>
      </c>
      <c r="P12" s="127">
        <v>9930</v>
      </c>
      <c r="Q12" s="119">
        <v>10230</v>
      </c>
      <c r="R12" s="119">
        <v>9780</v>
      </c>
      <c r="S12" s="119">
        <v>11080</v>
      </c>
      <c r="T12" s="119">
        <v>11580</v>
      </c>
      <c r="U12" s="119">
        <v>10230</v>
      </c>
      <c r="V12" s="119">
        <v>9780</v>
      </c>
      <c r="W12" s="119">
        <v>11080</v>
      </c>
      <c r="X12" s="119">
        <v>12380</v>
      </c>
      <c r="Y12" s="119">
        <v>9780</v>
      </c>
      <c r="Z12" s="119">
        <v>12280</v>
      </c>
      <c r="AA12" s="128">
        <v>10785</v>
      </c>
      <c r="AB12" s="122">
        <v>195</v>
      </c>
    </row>
    <row r="13" spans="1:28" ht="15" customHeight="1" x14ac:dyDescent="0.25">
      <c r="A13" s="32">
        <v>15</v>
      </c>
      <c r="B13" s="29">
        <v>1150</v>
      </c>
      <c r="C13" s="27" t="s">
        <v>1</v>
      </c>
      <c r="D13" s="32">
        <v>15</v>
      </c>
      <c r="E13" s="133">
        <v>155</v>
      </c>
      <c r="F13" s="7">
        <v>4.76</v>
      </c>
      <c r="G13" s="7">
        <v>9.6</v>
      </c>
      <c r="H13" s="7">
        <v>45.25</v>
      </c>
      <c r="I13" s="23">
        <f t="shared" si="0"/>
        <v>214.60999999999999</v>
      </c>
      <c r="J13" s="12">
        <f t="shared" si="1"/>
        <v>3219.1499999999996</v>
      </c>
      <c r="K13" s="138"/>
      <c r="L13" s="41">
        <v>15</v>
      </c>
      <c r="M13" s="105">
        <v>975</v>
      </c>
      <c r="N13" s="107">
        <v>1365</v>
      </c>
      <c r="O13" s="105">
        <v>1755</v>
      </c>
      <c r="P13" s="127">
        <v>9930</v>
      </c>
      <c r="Q13" s="119">
        <v>10230</v>
      </c>
      <c r="R13" s="119">
        <v>9780</v>
      </c>
      <c r="S13" s="119">
        <v>11080</v>
      </c>
      <c r="T13" s="119">
        <v>11580</v>
      </c>
      <c r="U13" s="119">
        <v>10230</v>
      </c>
      <c r="V13" s="119">
        <v>9780</v>
      </c>
      <c r="W13" s="119">
        <v>11080</v>
      </c>
      <c r="X13" s="119">
        <v>12380</v>
      </c>
      <c r="Y13" s="119">
        <v>9780</v>
      </c>
      <c r="Z13" s="119">
        <v>12280</v>
      </c>
      <c r="AA13" s="128">
        <v>10785</v>
      </c>
      <c r="AB13" s="122">
        <v>195</v>
      </c>
    </row>
    <row r="14" spans="1:28" ht="15" customHeight="1" x14ac:dyDescent="0.25">
      <c r="A14" s="32">
        <v>17</v>
      </c>
      <c r="B14" s="29">
        <v>1150</v>
      </c>
      <c r="C14" s="27" t="s">
        <v>1</v>
      </c>
      <c r="D14" s="32">
        <v>17</v>
      </c>
      <c r="E14" s="133">
        <v>155</v>
      </c>
      <c r="F14" s="7">
        <v>4.76</v>
      </c>
      <c r="G14" s="7">
        <v>9.6</v>
      </c>
      <c r="H14" s="7">
        <v>45.25</v>
      </c>
      <c r="I14" s="23">
        <f t="shared" si="0"/>
        <v>214.60999999999999</v>
      </c>
      <c r="J14" s="12">
        <f t="shared" si="1"/>
        <v>3648.37</v>
      </c>
      <c r="K14" s="138"/>
      <c r="L14" s="41">
        <v>17</v>
      </c>
      <c r="M14" s="105">
        <v>975</v>
      </c>
      <c r="N14" s="107">
        <v>1365</v>
      </c>
      <c r="O14" s="105">
        <v>1755</v>
      </c>
      <c r="P14" s="127">
        <v>9930</v>
      </c>
      <c r="Q14" s="119">
        <v>10230</v>
      </c>
      <c r="R14" s="119">
        <v>9780</v>
      </c>
      <c r="S14" s="119">
        <v>11080</v>
      </c>
      <c r="T14" s="119">
        <v>11580</v>
      </c>
      <c r="U14" s="119">
        <v>10230</v>
      </c>
      <c r="V14" s="119">
        <v>9780</v>
      </c>
      <c r="W14" s="119">
        <v>11080</v>
      </c>
      <c r="X14" s="119">
        <v>12380</v>
      </c>
      <c r="Y14" s="119">
        <v>9780</v>
      </c>
      <c r="Z14" s="119">
        <v>12280</v>
      </c>
      <c r="AA14" s="128">
        <v>10785</v>
      </c>
      <c r="AB14" s="122">
        <v>195</v>
      </c>
    </row>
    <row r="15" spans="1:28" ht="15" customHeight="1" x14ac:dyDescent="0.25">
      <c r="A15" s="32">
        <v>18</v>
      </c>
      <c r="B15" s="29">
        <v>1150</v>
      </c>
      <c r="C15" s="27" t="s">
        <v>1</v>
      </c>
      <c r="D15" s="32">
        <v>18</v>
      </c>
      <c r="E15" s="133">
        <v>155</v>
      </c>
      <c r="F15" s="7">
        <v>4.76</v>
      </c>
      <c r="G15" s="7">
        <v>9.6</v>
      </c>
      <c r="H15" s="7">
        <v>45.25</v>
      </c>
      <c r="I15" s="23">
        <f t="shared" si="0"/>
        <v>214.60999999999999</v>
      </c>
      <c r="J15" s="12">
        <f t="shared" si="1"/>
        <v>3862.9799999999996</v>
      </c>
      <c r="K15" s="138"/>
      <c r="L15" s="41">
        <v>18</v>
      </c>
      <c r="M15" s="105">
        <v>975</v>
      </c>
      <c r="N15" s="107">
        <v>1365</v>
      </c>
      <c r="O15" s="105">
        <v>1755</v>
      </c>
      <c r="P15" s="127">
        <v>9930</v>
      </c>
      <c r="Q15" s="119">
        <v>10230</v>
      </c>
      <c r="R15" s="119">
        <v>9780</v>
      </c>
      <c r="S15" s="119">
        <v>11080</v>
      </c>
      <c r="T15" s="119">
        <v>11580</v>
      </c>
      <c r="U15" s="119">
        <v>10230</v>
      </c>
      <c r="V15" s="119">
        <v>9780</v>
      </c>
      <c r="W15" s="119">
        <v>11080</v>
      </c>
      <c r="X15" s="119">
        <v>12380</v>
      </c>
      <c r="Y15" s="119">
        <v>9780</v>
      </c>
      <c r="Z15" s="119">
        <v>12280</v>
      </c>
      <c r="AA15" s="128">
        <v>10785</v>
      </c>
      <c r="AB15" s="122">
        <v>195</v>
      </c>
    </row>
    <row r="16" spans="1:28" ht="15" customHeight="1" x14ac:dyDescent="0.25">
      <c r="A16" s="33">
        <v>20</v>
      </c>
      <c r="B16" s="29">
        <v>1150</v>
      </c>
      <c r="C16" s="27" t="s">
        <v>1</v>
      </c>
      <c r="D16" s="33">
        <v>20</v>
      </c>
      <c r="E16" s="133">
        <v>155</v>
      </c>
      <c r="F16" s="7">
        <v>4.76</v>
      </c>
      <c r="G16" s="7">
        <v>9.6</v>
      </c>
      <c r="H16" s="7">
        <v>45.25</v>
      </c>
      <c r="I16" s="23">
        <f t="shared" si="0"/>
        <v>214.60999999999999</v>
      </c>
      <c r="J16" s="12">
        <f t="shared" si="1"/>
        <v>4292.2</v>
      </c>
      <c r="K16" s="138"/>
      <c r="L16" s="42">
        <v>20</v>
      </c>
      <c r="M16" s="105">
        <v>975</v>
      </c>
      <c r="N16" s="107">
        <v>1365</v>
      </c>
      <c r="O16" s="105">
        <v>1755</v>
      </c>
      <c r="P16" s="127">
        <v>9930</v>
      </c>
      <c r="Q16" s="119">
        <v>10230</v>
      </c>
      <c r="R16" s="119">
        <v>9780</v>
      </c>
      <c r="S16" s="119">
        <v>11080</v>
      </c>
      <c r="T16" s="119">
        <v>11580</v>
      </c>
      <c r="U16" s="119">
        <v>10230</v>
      </c>
      <c r="V16" s="119">
        <v>9780</v>
      </c>
      <c r="W16" s="119">
        <v>11080</v>
      </c>
      <c r="X16" s="119">
        <v>12380</v>
      </c>
      <c r="Y16" s="119">
        <v>9780</v>
      </c>
      <c r="Z16" s="119">
        <v>12280</v>
      </c>
      <c r="AA16" s="128">
        <v>10785</v>
      </c>
      <c r="AB16" s="122">
        <v>195</v>
      </c>
    </row>
    <row r="17" spans="1:28" ht="15.75" customHeight="1" x14ac:dyDescent="0.25">
      <c r="A17" s="33">
        <v>22</v>
      </c>
      <c r="B17" s="29">
        <v>1150</v>
      </c>
      <c r="C17" s="27" t="s">
        <v>1</v>
      </c>
      <c r="D17" s="33">
        <v>22</v>
      </c>
      <c r="E17" s="133">
        <v>155</v>
      </c>
      <c r="F17" s="7">
        <v>4.76</v>
      </c>
      <c r="G17" s="7">
        <v>9.6</v>
      </c>
      <c r="H17" s="7">
        <v>45.25</v>
      </c>
      <c r="I17" s="23">
        <f t="shared" si="0"/>
        <v>214.60999999999999</v>
      </c>
      <c r="J17" s="12">
        <f t="shared" si="1"/>
        <v>4721.42</v>
      </c>
      <c r="K17" s="138"/>
      <c r="L17" s="42">
        <v>22</v>
      </c>
      <c r="M17" s="105">
        <v>975</v>
      </c>
      <c r="N17" s="107">
        <v>1365</v>
      </c>
      <c r="O17" s="105">
        <v>1755</v>
      </c>
      <c r="P17" s="127">
        <v>9930</v>
      </c>
      <c r="Q17" s="119">
        <v>10230</v>
      </c>
      <c r="R17" s="119">
        <v>9780</v>
      </c>
      <c r="S17" s="119">
        <v>11080</v>
      </c>
      <c r="T17" s="119">
        <v>11580</v>
      </c>
      <c r="U17" s="119">
        <v>10230</v>
      </c>
      <c r="V17" s="119">
        <v>9780</v>
      </c>
      <c r="W17" s="119">
        <v>11080</v>
      </c>
      <c r="X17" s="119">
        <v>12380</v>
      </c>
      <c r="Y17" s="119">
        <v>9780</v>
      </c>
      <c r="Z17" s="119">
        <v>12280</v>
      </c>
      <c r="AA17" s="128">
        <v>10785</v>
      </c>
      <c r="AB17" s="122">
        <v>195</v>
      </c>
    </row>
    <row r="18" spans="1:28" x14ac:dyDescent="0.25">
      <c r="A18" s="34">
        <v>24</v>
      </c>
      <c r="B18" s="29">
        <v>1300</v>
      </c>
      <c r="C18" s="27" t="s">
        <v>1</v>
      </c>
      <c r="D18" s="34">
        <v>24</v>
      </c>
      <c r="E18" s="133">
        <v>155</v>
      </c>
      <c r="F18" s="7">
        <v>4.76</v>
      </c>
      <c r="G18" s="7">
        <v>9.6</v>
      </c>
      <c r="H18" s="7">
        <v>45.25</v>
      </c>
      <c r="I18" s="23">
        <f t="shared" si="0"/>
        <v>214.60999999999999</v>
      </c>
      <c r="J18" s="12">
        <f t="shared" si="1"/>
        <v>5150.6399999999994</v>
      </c>
      <c r="K18" s="138"/>
      <c r="L18" s="43">
        <v>24</v>
      </c>
      <c r="M18" s="105">
        <v>1400</v>
      </c>
      <c r="N18" s="107">
        <v>1960</v>
      </c>
      <c r="O18" s="105">
        <v>2520</v>
      </c>
      <c r="P18" s="113">
        <v>10270</v>
      </c>
      <c r="Q18" s="112">
        <v>10570</v>
      </c>
      <c r="R18" s="112">
        <v>10120</v>
      </c>
      <c r="S18" s="112">
        <v>11420</v>
      </c>
      <c r="T18" s="112">
        <v>11920</v>
      </c>
      <c r="U18" s="112">
        <v>10570</v>
      </c>
      <c r="V18" s="112">
        <v>10120</v>
      </c>
      <c r="W18" s="112">
        <v>11420</v>
      </c>
      <c r="X18" s="112">
        <v>12720</v>
      </c>
      <c r="Y18" s="112">
        <v>10120</v>
      </c>
      <c r="Z18" s="112">
        <v>12870</v>
      </c>
      <c r="AA18" s="128">
        <v>11600</v>
      </c>
      <c r="AB18" s="115">
        <v>280</v>
      </c>
    </row>
    <row r="19" spans="1:28" ht="15" customHeight="1" x14ac:dyDescent="0.25">
      <c r="A19" s="34">
        <v>26</v>
      </c>
      <c r="B19" s="29">
        <v>1300</v>
      </c>
      <c r="C19" s="27" t="s">
        <v>1</v>
      </c>
      <c r="D19" s="34">
        <v>26</v>
      </c>
      <c r="E19" s="133">
        <v>155</v>
      </c>
      <c r="F19" s="7">
        <v>4.76</v>
      </c>
      <c r="G19" s="7">
        <v>9.6</v>
      </c>
      <c r="H19" s="7">
        <v>45.25</v>
      </c>
      <c r="I19" s="23">
        <f t="shared" si="0"/>
        <v>214.60999999999999</v>
      </c>
      <c r="J19" s="12">
        <f t="shared" si="1"/>
        <v>5579.86</v>
      </c>
      <c r="K19" s="138"/>
      <c r="L19" s="43">
        <v>26</v>
      </c>
      <c r="M19" s="105">
        <v>1400</v>
      </c>
      <c r="N19" s="107">
        <v>1960</v>
      </c>
      <c r="O19" s="105">
        <v>2520</v>
      </c>
      <c r="P19" s="113">
        <v>10270</v>
      </c>
      <c r="Q19" s="112">
        <v>10570</v>
      </c>
      <c r="R19" s="112">
        <v>10120</v>
      </c>
      <c r="S19" s="112">
        <v>11420</v>
      </c>
      <c r="T19" s="112">
        <v>11920</v>
      </c>
      <c r="U19" s="112">
        <v>10570</v>
      </c>
      <c r="V19" s="112">
        <v>10120</v>
      </c>
      <c r="W19" s="112">
        <v>11420</v>
      </c>
      <c r="X19" s="112">
        <v>12720</v>
      </c>
      <c r="Y19" s="112">
        <v>10120</v>
      </c>
      <c r="Z19" s="112">
        <v>12870</v>
      </c>
      <c r="AA19" s="128">
        <v>11600</v>
      </c>
      <c r="AB19" s="115">
        <v>280</v>
      </c>
    </row>
    <row r="20" spans="1:28" x14ac:dyDescent="0.25">
      <c r="A20" s="32">
        <v>28</v>
      </c>
      <c r="B20" s="29">
        <v>1300</v>
      </c>
      <c r="C20" s="27" t="s">
        <v>1</v>
      </c>
      <c r="D20" s="32">
        <v>28</v>
      </c>
      <c r="E20" s="133">
        <v>155</v>
      </c>
      <c r="F20" s="7">
        <v>4.76</v>
      </c>
      <c r="G20" s="7">
        <v>9.6</v>
      </c>
      <c r="H20" s="7">
        <v>45.25</v>
      </c>
      <c r="I20" s="23">
        <f t="shared" si="0"/>
        <v>214.60999999999999</v>
      </c>
      <c r="J20" s="12">
        <f t="shared" si="1"/>
        <v>6009.08</v>
      </c>
      <c r="K20" s="138"/>
      <c r="L20" s="41">
        <v>28</v>
      </c>
      <c r="M20" s="105">
        <v>1400</v>
      </c>
      <c r="N20" s="107">
        <v>1960</v>
      </c>
      <c r="O20" s="105">
        <v>2520</v>
      </c>
      <c r="P20" s="113">
        <v>10270</v>
      </c>
      <c r="Q20" s="112">
        <v>10570</v>
      </c>
      <c r="R20" s="112">
        <v>10120</v>
      </c>
      <c r="S20" s="112">
        <v>11420</v>
      </c>
      <c r="T20" s="112">
        <v>11920</v>
      </c>
      <c r="U20" s="112">
        <v>10570</v>
      </c>
      <c r="V20" s="112">
        <v>10120</v>
      </c>
      <c r="W20" s="112">
        <v>11420</v>
      </c>
      <c r="X20" s="112">
        <v>12720</v>
      </c>
      <c r="Y20" s="112">
        <v>10120</v>
      </c>
      <c r="Z20" s="112">
        <v>12870</v>
      </c>
      <c r="AA20" s="128">
        <v>11600</v>
      </c>
      <c r="AB20" s="115">
        <v>280</v>
      </c>
    </row>
    <row r="21" spans="1:28" x14ac:dyDescent="0.25">
      <c r="A21" s="32">
        <v>30</v>
      </c>
      <c r="B21" s="29">
        <v>1300</v>
      </c>
      <c r="C21" s="27" t="s">
        <v>1</v>
      </c>
      <c r="D21" s="32">
        <v>30</v>
      </c>
      <c r="E21" s="133">
        <v>155</v>
      </c>
      <c r="F21" s="7">
        <v>4.76</v>
      </c>
      <c r="G21" s="7">
        <v>9.6</v>
      </c>
      <c r="H21" s="7">
        <v>45.25</v>
      </c>
      <c r="I21" s="23">
        <f t="shared" si="0"/>
        <v>214.60999999999999</v>
      </c>
      <c r="J21" s="12">
        <f t="shared" si="1"/>
        <v>6438.2999999999993</v>
      </c>
      <c r="K21" s="138"/>
      <c r="L21" s="41">
        <v>30</v>
      </c>
      <c r="M21" s="105">
        <v>1400</v>
      </c>
      <c r="N21" s="107">
        <v>1960</v>
      </c>
      <c r="O21" s="105">
        <v>2520</v>
      </c>
      <c r="P21" s="113">
        <v>10270</v>
      </c>
      <c r="Q21" s="112">
        <v>10570</v>
      </c>
      <c r="R21" s="112">
        <v>10120</v>
      </c>
      <c r="S21" s="112">
        <v>11420</v>
      </c>
      <c r="T21" s="112">
        <v>11920</v>
      </c>
      <c r="U21" s="112">
        <v>10570</v>
      </c>
      <c r="V21" s="112">
        <v>10120</v>
      </c>
      <c r="W21" s="112">
        <v>11420</v>
      </c>
      <c r="X21" s="112">
        <v>12720</v>
      </c>
      <c r="Y21" s="112">
        <v>10120</v>
      </c>
      <c r="Z21" s="112">
        <v>12870</v>
      </c>
      <c r="AA21" s="128">
        <v>11600</v>
      </c>
      <c r="AB21" s="115">
        <v>280</v>
      </c>
    </row>
    <row r="22" spans="1:28" x14ac:dyDescent="0.25">
      <c r="A22" s="32">
        <v>32</v>
      </c>
      <c r="B22" s="29">
        <v>1300</v>
      </c>
      <c r="C22" s="135" t="s">
        <v>124</v>
      </c>
      <c r="D22" s="32">
        <v>32</v>
      </c>
      <c r="E22" s="133">
        <v>155</v>
      </c>
      <c r="F22" s="7">
        <v>4.76</v>
      </c>
      <c r="G22" s="7">
        <v>9.6</v>
      </c>
      <c r="H22" s="7">
        <v>45.25</v>
      </c>
      <c r="I22" s="23">
        <f t="shared" si="0"/>
        <v>214.60999999999999</v>
      </c>
      <c r="J22" s="12">
        <f t="shared" si="1"/>
        <v>6867.5199999999995</v>
      </c>
      <c r="K22" s="138"/>
      <c r="L22" s="41">
        <v>32</v>
      </c>
      <c r="M22" s="105">
        <v>1600</v>
      </c>
      <c r="N22" s="107">
        <v>2240</v>
      </c>
      <c r="O22" s="105">
        <v>2880</v>
      </c>
      <c r="P22" s="113">
        <v>12680</v>
      </c>
      <c r="Q22" s="112">
        <v>11980</v>
      </c>
      <c r="R22" s="112">
        <v>12680</v>
      </c>
      <c r="S22" s="112">
        <v>12780</v>
      </c>
      <c r="T22" s="112">
        <v>13480</v>
      </c>
      <c r="U22" s="112">
        <v>12680</v>
      </c>
      <c r="V22" s="112">
        <v>12880</v>
      </c>
      <c r="W22" s="112">
        <v>12980</v>
      </c>
      <c r="X22" s="112">
        <v>14380</v>
      </c>
      <c r="Y22" s="112">
        <v>12680</v>
      </c>
      <c r="Z22" s="112">
        <v>14580</v>
      </c>
      <c r="AA22" s="129">
        <v>14200</v>
      </c>
      <c r="AB22" s="115">
        <v>320</v>
      </c>
    </row>
    <row r="23" spans="1:28" x14ac:dyDescent="0.25">
      <c r="A23" s="32">
        <v>34</v>
      </c>
      <c r="B23" s="29">
        <v>1500</v>
      </c>
      <c r="C23" s="135"/>
      <c r="D23" s="32">
        <v>34</v>
      </c>
      <c r="E23" s="133">
        <v>155</v>
      </c>
      <c r="F23" s="7">
        <v>4.76</v>
      </c>
      <c r="G23" s="7">
        <v>9.6</v>
      </c>
      <c r="H23" s="7">
        <v>45.25</v>
      </c>
      <c r="I23" s="23">
        <f t="shared" si="0"/>
        <v>214.60999999999999</v>
      </c>
      <c r="J23" s="12">
        <f t="shared" si="1"/>
        <v>7296.74</v>
      </c>
      <c r="K23" s="138"/>
      <c r="L23" s="41">
        <v>34</v>
      </c>
      <c r="M23" s="105">
        <v>1600</v>
      </c>
      <c r="N23" s="107">
        <v>2240</v>
      </c>
      <c r="O23" s="105">
        <v>2880</v>
      </c>
      <c r="P23" s="113">
        <v>12680</v>
      </c>
      <c r="Q23" s="112">
        <v>11980</v>
      </c>
      <c r="R23" s="112">
        <v>12680</v>
      </c>
      <c r="S23" s="112">
        <v>12780</v>
      </c>
      <c r="T23" s="112">
        <v>13480</v>
      </c>
      <c r="U23" s="112">
        <v>12680</v>
      </c>
      <c r="V23" s="112">
        <v>12880</v>
      </c>
      <c r="W23" s="112">
        <v>12980</v>
      </c>
      <c r="X23" s="112">
        <v>14380</v>
      </c>
      <c r="Y23" s="112">
        <v>12680</v>
      </c>
      <c r="Z23" s="112">
        <v>14580</v>
      </c>
      <c r="AA23" s="129">
        <v>14200</v>
      </c>
      <c r="AB23" s="115">
        <v>320</v>
      </c>
    </row>
    <row r="24" spans="1:28" x14ac:dyDescent="0.25">
      <c r="A24" s="33">
        <v>36</v>
      </c>
      <c r="B24" s="29">
        <v>1500</v>
      </c>
      <c r="C24" s="135"/>
      <c r="D24" s="33">
        <v>36</v>
      </c>
      <c r="E24" s="133">
        <v>155</v>
      </c>
      <c r="F24" s="7">
        <v>4.76</v>
      </c>
      <c r="G24" s="7">
        <v>9.6</v>
      </c>
      <c r="H24" s="7">
        <v>45.25</v>
      </c>
      <c r="I24" s="23">
        <f t="shared" si="0"/>
        <v>214.60999999999999</v>
      </c>
      <c r="J24" s="12">
        <f t="shared" si="1"/>
        <v>7725.9599999999991</v>
      </c>
      <c r="K24" s="138"/>
      <c r="L24" s="42">
        <v>36</v>
      </c>
      <c r="M24" s="105">
        <v>1600</v>
      </c>
      <c r="N24" s="107">
        <v>2240</v>
      </c>
      <c r="O24" s="105">
        <v>2880</v>
      </c>
      <c r="P24" s="113">
        <v>12680</v>
      </c>
      <c r="Q24" s="112">
        <v>11980</v>
      </c>
      <c r="R24" s="112">
        <v>12680</v>
      </c>
      <c r="S24" s="112">
        <v>12780</v>
      </c>
      <c r="T24" s="112">
        <v>13480</v>
      </c>
      <c r="U24" s="112">
        <v>12680</v>
      </c>
      <c r="V24" s="112">
        <v>12880</v>
      </c>
      <c r="W24" s="112">
        <v>12980</v>
      </c>
      <c r="X24" s="112">
        <v>14380</v>
      </c>
      <c r="Y24" s="112">
        <v>12680</v>
      </c>
      <c r="Z24" s="112">
        <v>14580</v>
      </c>
      <c r="AA24" s="129">
        <v>14200</v>
      </c>
      <c r="AB24" s="115">
        <v>320</v>
      </c>
    </row>
    <row r="25" spans="1:28" x14ac:dyDescent="0.25">
      <c r="A25" s="33">
        <v>38</v>
      </c>
      <c r="B25" s="29">
        <v>1500</v>
      </c>
      <c r="C25" s="135"/>
      <c r="D25" s="33">
        <v>38</v>
      </c>
      <c r="E25" s="133">
        <v>155</v>
      </c>
      <c r="F25" s="7">
        <v>4.76</v>
      </c>
      <c r="G25" s="7">
        <v>9.6</v>
      </c>
      <c r="H25" s="7">
        <v>45.25</v>
      </c>
      <c r="I25" s="23">
        <f t="shared" si="0"/>
        <v>214.60999999999999</v>
      </c>
      <c r="J25" s="12">
        <f t="shared" si="1"/>
        <v>8155.1799999999994</v>
      </c>
      <c r="K25" s="138"/>
      <c r="L25" s="42">
        <v>38</v>
      </c>
      <c r="M25" s="105">
        <v>1600</v>
      </c>
      <c r="N25" s="107">
        <v>2240</v>
      </c>
      <c r="O25" s="105">
        <v>2880</v>
      </c>
      <c r="P25" s="113">
        <v>12680</v>
      </c>
      <c r="Q25" s="112">
        <v>11980</v>
      </c>
      <c r="R25" s="112">
        <v>12680</v>
      </c>
      <c r="S25" s="112">
        <v>12780</v>
      </c>
      <c r="T25" s="112">
        <v>13480</v>
      </c>
      <c r="U25" s="112">
        <v>12680</v>
      </c>
      <c r="V25" s="112">
        <v>12880</v>
      </c>
      <c r="W25" s="112">
        <v>12980</v>
      </c>
      <c r="X25" s="112">
        <v>14380</v>
      </c>
      <c r="Y25" s="112">
        <v>12680</v>
      </c>
      <c r="Z25" s="112">
        <v>14580</v>
      </c>
      <c r="AA25" s="129">
        <v>14200</v>
      </c>
      <c r="AB25" s="115">
        <v>320</v>
      </c>
    </row>
    <row r="26" spans="1:28" ht="15" customHeight="1" x14ac:dyDescent="0.25">
      <c r="A26" s="34">
        <v>41</v>
      </c>
      <c r="B26" s="29">
        <v>1500</v>
      </c>
      <c r="C26" s="135"/>
      <c r="D26" s="34">
        <v>41</v>
      </c>
      <c r="E26" s="133">
        <v>155</v>
      </c>
      <c r="F26" s="7">
        <v>4.76</v>
      </c>
      <c r="G26" s="7">
        <v>9.6</v>
      </c>
      <c r="H26" s="7">
        <v>45.25</v>
      </c>
      <c r="I26" s="23">
        <f t="shared" si="0"/>
        <v>214.60999999999999</v>
      </c>
      <c r="J26" s="12">
        <f t="shared" si="1"/>
        <v>8799.01</v>
      </c>
      <c r="K26" s="138"/>
      <c r="L26" s="43">
        <v>41</v>
      </c>
      <c r="M26" s="105">
        <v>1600</v>
      </c>
      <c r="N26" s="107">
        <v>2240</v>
      </c>
      <c r="O26" s="105">
        <v>2880</v>
      </c>
      <c r="P26" s="113">
        <v>12680</v>
      </c>
      <c r="Q26" s="112">
        <v>11980</v>
      </c>
      <c r="R26" s="112">
        <v>12680</v>
      </c>
      <c r="S26" s="112">
        <v>12780</v>
      </c>
      <c r="T26" s="112">
        <v>13480</v>
      </c>
      <c r="U26" s="112">
        <v>12680</v>
      </c>
      <c r="V26" s="112">
        <v>12880</v>
      </c>
      <c r="W26" s="112">
        <v>12980</v>
      </c>
      <c r="X26" s="112">
        <v>14380</v>
      </c>
      <c r="Y26" s="112">
        <v>12680</v>
      </c>
      <c r="Z26" s="112">
        <v>14580</v>
      </c>
      <c r="AA26" s="129">
        <v>14200</v>
      </c>
      <c r="AB26" s="115">
        <v>320</v>
      </c>
    </row>
    <row r="27" spans="1:28" x14ac:dyDescent="0.25">
      <c r="A27" s="34">
        <v>44</v>
      </c>
      <c r="B27" s="29">
        <v>1500</v>
      </c>
      <c r="C27" s="135"/>
      <c r="D27" s="34">
        <v>44</v>
      </c>
      <c r="E27" s="133">
        <v>155</v>
      </c>
      <c r="F27" s="7">
        <v>4.76</v>
      </c>
      <c r="G27" s="7">
        <v>9.6</v>
      </c>
      <c r="H27" s="7">
        <v>45.25</v>
      </c>
      <c r="I27" s="23">
        <f t="shared" si="0"/>
        <v>214.60999999999999</v>
      </c>
      <c r="J27" s="12">
        <f t="shared" si="1"/>
        <v>9442.84</v>
      </c>
      <c r="K27" s="138"/>
      <c r="L27" s="43">
        <v>44</v>
      </c>
      <c r="M27" s="105">
        <v>1600</v>
      </c>
      <c r="N27" s="107">
        <v>2240</v>
      </c>
      <c r="O27" s="105">
        <v>2880</v>
      </c>
      <c r="P27" s="113">
        <v>12680</v>
      </c>
      <c r="Q27" s="112">
        <v>11980</v>
      </c>
      <c r="R27" s="112">
        <v>12680</v>
      </c>
      <c r="S27" s="112">
        <v>12780</v>
      </c>
      <c r="T27" s="112">
        <v>13480</v>
      </c>
      <c r="U27" s="112">
        <v>12680</v>
      </c>
      <c r="V27" s="112">
        <v>12880</v>
      </c>
      <c r="W27" s="112">
        <v>12980</v>
      </c>
      <c r="X27" s="112">
        <v>14380</v>
      </c>
      <c r="Y27" s="112">
        <v>12680</v>
      </c>
      <c r="Z27" s="112">
        <v>14580</v>
      </c>
      <c r="AA27" s="129">
        <v>14200</v>
      </c>
      <c r="AB27" s="115">
        <v>320</v>
      </c>
    </row>
    <row r="28" spans="1:28" x14ac:dyDescent="0.25">
      <c r="A28" s="34">
        <v>46</v>
      </c>
      <c r="B28" s="29">
        <v>1950</v>
      </c>
      <c r="C28" s="135"/>
      <c r="D28" s="34">
        <v>46</v>
      </c>
      <c r="E28" s="133">
        <v>155</v>
      </c>
      <c r="F28" s="7">
        <v>4.76</v>
      </c>
      <c r="G28" s="7">
        <v>9.6</v>
      </c>
      <c r="H28" s="7">
        <v>45.25</v>
      </c>
      <c r="I28" s="23">
        <f t="shared" si="0"/>
        <v>214.60999999999999</v>
      </c>
      <c r="J28" s="12">
        <f t="shared" si="1"/>
        <v>9872.06</v>
      </c>
      <c r="K28" s="138"/>
      <c r="L28" s="43">
        <v>46</v>
      </c>
      <c r="M28" s="105">
        <f>320*5</f>
        <v>1600</v>
      </c>
      <c r="N28" s="107">
        <v>2240</v>
      </c>
      <c r="O28" s="105">
        <v>2880</v>
      </c>
      <c r="P28" s="113">
        <v>12680</v>
      </c>
      <c r="Q28" s="112">
        <v>11980</v>
      </c>
      <c r="R28" s="112">
        <v>12680</v>
      </c>
      <c r="S28" s="112">
        <v>12780</v>
      </c>
      <c r="T28" s="112">
        <v>13480</v>
      </c>
      <c r="U28" s="112">
        <v>12680</v>
      </c>
      <c r="V28" s="112">
        <v>12880</v>
      </c>
      <c r="W28" s="112">
        <v>12980</v>
      </c>
      <c r="X28" s="112">
        <v>14380</v>
      </c>
      <c r="Y28" s="112">
        <v>12680</v>
      </c>
      <c r="Z28" s="112">
        <v>14580</v>
      </c>
      <c r="AA28" s="129">
        <v>14200</v>
      </c>
      <c r="AB28" s="115">
        <v>320</v>
      </c>
    </row>
    <row r="29" spans="1:28" x14ac:dyDescent="0.25">
      <c r="A29" s="34">
        <v>48</v>
      </c>
      <c r="B29" s="29">
        <v>1950</v>
      </c>
      <c r="C29" s="135"/>
      <c r="D29" s="34">
        <v>48</v>
      </c>
      <c r="E29" s="133">
        <v>155</v>
      </c>
      <c r="F29" s="7">
        <v>4.76</v>
      </c>
      <c r="G29" s="7">
        <v>9.6</v>
      </c>
      <c r="H29" s="7">
        <v>45.25</v>
      </c>
      <c r="I29" s="23">
        <f t="shared" si="0"/>
        <v>214.60999999999999</v>
      </c>
      <c r="J29" s="12">
        <f t="shared" si="1"/>
        <v>10301.279999999999</v>
      </c>
      <c r="K29" s="138"/>
      <c r="L29" s="43">
        <v>48</v>
      </c>
      <c r="M29" s="105">
        <v>1750</v>
      </c>
      <c r="N29" s="107">
        <v>2450</v>
      </c>
      <c r="O29" s="105">
        <v>3150</v>
      </c>
      <c r="P29" s="113">
        <v>12800</v>
      </c>
      <c r="Q29" s="112">
        <v>12100</v>
      </c>
      <c r="R29" s="112">
        <v>12800</v>
      </c>
      <c r="S29" s="112">
        <v>12900</v>
      </c>
      <c r="T29" s="112">
        <v>13600</v>
      </c>
      <c r="U29" s="112">
        <v>12800</v>
      </c>
      <c r="V29" s="112">
        <v>13000</v>
      </c>
      <c r="W29" s="112">
        <v>13100</v>
      </c>
      <c r="X29" s="112">
        <v>14500</v>
      </c>
      <c r="Y29" s="112">
        <v>12800</v>
      </c>
      <c r="Z29" s="112">
        <v>15700</v>
      </c>
      <c r="AA29" s="129">
        <v>14200</v>
      </c>
      <c r="AB29" s="115">
        <v>350</v>
      </c>
    </row>
    <row r="30" spans="1:28" x14ac:dyDescent="0.25">
      <c r="A30" s="34">
        <v>50</v>
      </c>
      <c r="B30" s="29">
        <v>1950</v>
      </c>
      <c r="C30" s="135"/>
      <c r="D30" s="34">
        <v>50</v>
      </c>
      <c r="E30" s="133">
        <v>155</v>
      </c>
      <c r="F30" s="7">
        <v>4.76</v>
      </c>
      <c r="G30" s="7">
        <v>9.6</v>
      </c>
      <c r="H30" s="7">
        <v>45.25</v>
      </c>
      <c r="I30" s="23">
        <f t="shared" si="0"/>
        <v>214.60999999999999</v>
      </c>
      <c r="J30" s="12">
        <f t="shared" si="1"/>
        <v>10730.5</v>
      </c>
      <c r="K30" s="138"/>
      <c r="L30" s="43">
        <v>50</v>
      </c>
      <c r="M30" s="105">
        <v>1750</v>
      </c>
      <c r="N30" s="107">
        <v>2450</v>
      </c>
      <c r="O30" s="105">
        <v>3150</v>
      </c>
      <c r="P30" s="113">
        <v>12800</v>
      </c>
      <c r="Q30" s="112">
        <v>12100</v>
      </c>
      <c r="R30" s="112">
        <v>12800</v>
      </c>
      <c r="S30" s="112">
        <v>12900</v>
      </c>
      <c r="T30" s="112">
        <v>13600</v>
      </c>
      <c r="U30" s="112">
        <v>12800</v>
      </c>
      <c r="V30" s="112">
        <v>13000</v>
      </c>
      <c r="W30" s="112">
        <v>13100</v>
      </c>
      <c r="X30" s="112">
        <v>14500</v>
      </c>
      <c r="Y30" s="112">
        <v>12800</v>
      </c>
      <c r="Z30" s="112">
        <v>15700</v>
      </c>
      <c r="AA30" s="129">
        <v>16200</v>
      </c>
      <c r="AB30" s="115">
        <v>350</v>
      </c>
    </row>
    <row r="31" spans="1:28" x14ac:dyDescent="0.25">
      <c r="A31" s="34">
        <v>52</v>
      </c>
      <c r="B31" s="29">
        <v>1950</v>
      </c>
      <c r="C31" s="135"/>
      <c r="D31" s="34">
        <v>52</v>
      </c>
      <c r="E31" s="133">
        <v>155</v>
      </c>
      <c r="F31" s="7">
        <v>4.76</v>
      </c>
      <c r="G31" s="7">
        <v>9.6</v>
      </c>
      <c r="H31" s="7">
        <v>45.25</v>
      </c>
      <c r="I31" s="23">
        <f t="shared" si="0"/>
        <v>214.60999999999999</v>
      </c>
      <c r="J31" s="12">
        <f t="shared" si="1"/>
        <v>11159.72</v>
      </c>
      <c r="K31" s="138"/>
      <c r="L31" s="43">
        <v>52</v>
      </c>
      <c r="M31" s="105">
        <v>2000</v>
      </c>
      <c r="N31" s="107">
        <v>2800</v>
      </c>
      <c r="O31" s="105">
        <v>3600</v>
      </c>
      <c r="P31" s="113">
        <v>14500</v>
      </c>
      <c r="Q31" s="112">
        <v>14500</v>
      </c>
      <c r="R31" s="112">
        <v>15000</v>
      </c>
      <c r="S31" s="112">
        <v>16200</v>
      </c>
      <c r="T31" s="112">
        <v>16000</v>
      </c>
      <c r="U31" s="112">
        <v>14500</v>
      </c>
      <c r="V31" s="112">
        <v>14500</v>
      </c>
      <c r="W31" s="112">
        <v>15750</v>
      </c>
      <c r="X31" s="112">
        <v>16000</v>
      </c>
      <c r="Y31" s="112">
        <v>15000</v>
      </c>
      <c r="Z31" s="112">
        <v>16500</v>
      </c>
      <c r="AA31" s="129">
        <v>18500</v>
      </c>
      <c r="AB31" s="115">
        <v>400</v>
      </c>
    </row>
    <row r="32" spans="1:28" x14ac:dyDescent="0.25">
      <c r="A32" s="34">
        <v>57</v>
      </c>
      <c r="B32" s="29">
        <v>2300</v>
      </c>
      <c r="C32" s="135"/>
      <c r="D32" s="34">
        <v>57</v>
      </c>
      <c r="E32" s="133">
        <v>155</v>
      </c>
      <c r="F32" s="7">
        <v>4.76</v>
      </c>
      <c r="G32" s="7">
        <v>9.6</v>
      </c>
      <c r="H32" s="7">
        <v>45.25</v>
      </c>
      <c r="I32" s="23">
        <f t="shared" si="0"/>
        <v>214.60999999999999</v>
      </c>
      <c r="J32" s="12">
        <f t="shared" si="1"/>
        <v>12232.769999999999</v>
      </c>
      <c r="K32" s="138"/>
      <c r="L32" s="43">
        <v>57</v>
      </c>
      <c r="M32" s="105">
        <v>2000</v>
      </c>
      <c r="N32" s="107">
        <v>2800</v>
      </c>
      <c r="O32" s="105">
        <v>3600</v>
      </c>
      <c r="P32" s="113">
        <v>16000</v>
      </c>
      <c r="Q32" s="112">
        <v>16000</v>
      </c>
      <c r="R32" s="112">
        <v>16500</v>
      </c>
      <c r="S32" s="112">
        <v>17250</v>
      </c>
      <c r="T32" s="112">
        <v>17500</v>
      </c>
      <c r="U32" s="112">
        <v>16000</v>
      </c>
      <c r="V32" s="112">
        <v>17500</v>
      </c>
      <c r="W32" s="112">
        <v>17500</v>
      </c>
      <c r="X32" s="112">
        <v>20000</v>
      </c>
      <c r="Y32" s="112">
        <v>17000</v>
      </c>
      <c r="Z32" s="112">
        <v>20500</v>
      </c>
      <c r="AA32" s="129">
        <v>18500</v>
      </c>
      <c r="AB32" s="115">
        <v>450</v>
      </c>
    </row>
    <row r="33" spans="1:28" ht="15.75" thickBot="1" x14ac:dyDescent="0.3">
      <c r="A33" s="35">
        <v>59</v>
      </c>
      <c r="B33" s="30">
        <v>2300</v>
      </c>
      <c r="C33" s="136"/>
      <c r="D33" s="35">
        <v>59</v>
      </c>
      <c r="E33" s="134">
        <v>155</v>
      </c>
      <c r="F33" s="9">
        <v>4.76</v>
      </c>
      <c r="G33" s="9">
        <v>9.6</v>
      </c>
      <c r="H33" s="9">
        <v>45.25</v>
      </c>
      <c r="I33" s="24">
        <f t="shared" si="0"/>
        <v>214.60999999999999</v>
      </c>
      <c r="J33" s="13">
        <f t="shared" si="1"/>
        <v>12661.99</v>
      </c>
      <c r="K33" s="139"/>
      <c r="L33" s="44">
        <v>59</v>
      </c>
      <c r="M33" s="106">
        <v>2000</v>
      </c>
      <c r="N33" s="107">
        <v>2800</v>
      </c>
      <c r="O33" s="106">
        <v>3600</v>
      </c>
      <c r="P33" s="130">
        <v>16000</v>
      </c>
      <c r="Q33" s="123">
        <v>16000</v>
      </c>
      <c r="R33" s="123">
        <v>16500</v>
      </c>
      <c r="S33" s="123">
        <v>17250</v>
      </c>
      <c r="T33" s="123">
        <v>17500</v>
      </c>
      <c r="U33" s="123">
        <v>16000</v>
      </c>
      <c r="V33" s="123">
        <v>17500</v>
      </c>
      <c r="W33" s="123">
        <v>17500</v>
      </c>
      <c r="X33" s="123">
        <v>20000</v>
      </c>
      <c r="Y33" s="123">
        <v>17000</v>
      </c>
      <c r="Z33" s="123">
        <v>20500</v>
      </c>
      <c r="AA33" s="131">
        <v>18500</v>
      </c>
      <c r="AB33" s="124">
        <v>450</v>
      </c>
    </row>
    <row r="34" spans="1:28" ht="15.75" thickBot="1" x14ac:dyDescent="0.3">
      <c r="A34" s="17"/>
      <c r="B34" s="2"/>
      <c r="C34" s="18"/>
      <c r="D34" s="17"/>
      <c r="E34" s="2"/>
      <c r="F34" s="2"/>
      <c r="G34" s="2"/>
      <c r="H34" s="2"/>
      <c r="I34" s="2"/>
      <c r="J34" s="2"/>
      <c r="K34" s="18"/>
      <c r="L34" s="140" t="s">
        <v>113</v>
      </c>
      <c r="M34" s="141"/>
      <c r="N34" s="141"/>
      <c r="O34" s="141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3"/>
    </row>
    <row r="35" spans="1:28" x14ac:dyDescent="0.25">
      <c r="A35" s="17"/>
      <c r="B35" s="2"/>
      <c r="C35" s="18"/>
      <c r="D35" s="17"/>
      <c r="E35" s="2"/>
      <c r="F35" s="19"/>
      <c r="G35" s="19"/>
      <c r="H35" s="19"/>
      <c r="I35" s="20"/>
      <c r="J35" s="2"/>
      <c r="K35" s="18"/>
      <c r="L35" s="17"/>
      <c r="M35" s="17"/>
      <c r="N35" s="17"/>
      <c r="O35" s="17"/>
    </row>
    <row r="36" spans="1:28" ht="23.25" x14ac:dyDescent="0.35">
      <c r="A36" s="144" t="s">
        <v>19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</row>
    <row r="37" spans="1:28" ht="15" customHeight="1" x14ac:dyDescent="0.3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</row>
    <row r="38" spans="1:28" ht="15.75" x14ac:dyDescent="0.25">
      <c r="A38" s="37" t="s">
        <v>18</v>
      </c>
      <c r="B38" s="5"/>
      <c r="C38" s="5"/>
      <c r="F38" s="6"/>
      <c r="G38" s="6"/>
      <c r="H38" s="38" t="s">
        <v>31</v>
      </c>
      <c r="I38" s="6"/>
      <c r="J38" s="6"/>
      <c r="K38" s="6"/>
      <c r="L38" s="6"/>
      <c r="M38" s="6"/>
      <c r="N38" s="6"/>
      <c r="O38" s="6"/>
    </row>
    <row r="39" spans="1:28" x14ac:dyDescent="0.25">
      <c r="A39" s="4" t="s">
        <v>127</v>
      </c>
      <c r="B39" s="5"/>
      <c r="C39" s="5"/>
      <c r="F39" s="6"/>
      <c r="G39" s="6"/>
      <c r="H39" t="s">
        <v>33</v>
      </c>
      <c r="I39" s="6"/>
      <c r="J39" s="6"/>
      <c r="K39" s="6"/>
      <c r="L39" s="6"/>
      <c r="M39" s="6"/>
      <c r="N39" s="6"/>
      <c r="O39" s="6"/>
    </row>
    <row r="40" spans="1:28" x14ac:dyDescent="0.25">
      <c r="A40" s="4" t="s">
        <v>115</v>
      </c>
      <c r="H40" s="1" t="s">
        <v>2</v>
      </c>
      <c r="J40" s="3"/>
    </row>
    <row r="41" spans="1:28" x14ac:dyDescent="0.25">
      <c r="A41" s="4" t="s">
        <v>65</v>
      </c>
      <c r="H41" s="1" t="s">
        <v>59</v>
      </c>
      <c r="J41" s="3"/>
    </row>
    <row r="42" spans="1:28" x14ac:dyDescent="0.25">
      <c r="A42" s="4" t="s">
        <v>116</v>
      </c>
      <c r="H42" s="1" t="s">
        <v>131</v>
      </c>
      <c r="J42" s="3"/>
    </row>
    <row r="43" spans="1:28" x14ac:dyDescent="0.25">
      <c r="A43" s="4" t="s">
        <v>117</v>
      </c>
      <c r="D43" s="5"/>
      <c r="E43" s="5"/>
      <c r="H43" t="s">
        <v>61</v>
      </c>
      <c r="J43" s="3"/>
    </row>
    <row r="44" spans="1:28" x14ac:dyDescent="0.25">
      <c r="A44" s="4"/>
      <c r="D44" s="5"/>
      <c r="E44" s="116"/>
      <c r="H44" s="1" t="s">
        <v>134</v>
      </c>
      <c r="I44" s="2"/>
      <c r="J44" s="2"/>
    </row>
    <row r="45" spans="1:28" x14ac:dyDescent="0.25">
      <c r="A45" s="118" t="s">
        <v>118</v>
      </c>
      <c r="B45" s="118" t="s">
        <v>119</v>
      </c>
      <c r="D45" s="6"/>
      <c r="E45" s="117"/>
      <c r="H45" s="1" t="s">
        <v>132</v>
      </c>
      <c r="I45" s="2"/>
      <c r="J45" s="2"/>
    </row>
    <row r="46" spans="1:28" x14ac:dyDescent="0.25">
      <c r="A46" s="103" t="s">
        <v>123</v>
      </c>
      <c r="B46" s="116">
        <v>500</v>
      </c>
      <c r="E46" s="117"/>
      <c r="H46" s="1" t="s">
        <v>133</v>
      </c>
    </row>
    <row r="47" spans="1:28" x14ac:dyDescent="0.25">
      <c r="A47" s="21" t="s">
        <v>120</v>
      </c>
      <c r="B47" s="117">
        <v>600</v>
      </c>
      <c r="E47" s="117"/>
      <c r="H47" t="s">
        <v>112</v>
      </c>
    </row>
    <row r="48" spans="1:28" x14ac:dyDescent="0.25">
      <c r="A48" s="21" t="s">
        <v>121</v>
      </c>
      <c r="B48" s="117">
        <v>1100</v>
      </c>
      <c r="H48" t="s">
        <v>4</v>
      </c>
    </row>
    <row r="49" spans="1:15" x14ac:dyDescent="0.25">
      <c r="A49" s="21" t="s">
        <v>122</v>
      </c>
      <c r="B49" s="117">
        <v>800</v>
      </c>
      <c r="H49" t="s">
        <v>66</v>
      </c>
    </row>
    <row r="50" spans="1:15" x14ac:dyDescent="0.25">
      <c r="B50" s="117"/>
      <c r="I50" s="2"/>
      <c r="J50" s="2"/>
    </row>
    <row r="51" spans="1:15" ht="15.75" x14ac:dyDescent="0.25">
      <c r="A51" s="39" t="s">
        <v>20</v>
      </c>
      <c r="I51" s="2"/>
      <c r="J51" s="2"/>
    </row>
    <row r="52" spans="1:15" ht="15.75" x14ac:dyDescent="0.25">
      <c r="A52" s="4" t="s">
        <v>22</v>
      </c>
      <c r="H52" s="38" t="s">
        <v>24</v>
      </c>
      <c r="I52" s="2"/>
      <c r="J52" s="2"/>
    </row>
    <row r="53" spans="1:15" x14ac:dyDescent="0.25">
      <c r="A53" s="4" t="s">
        <v>23</v>
      </c>
      <c r="H53" t="s">
        <v>25</v>
      </c>
      <c r="I53" s="2"/>
      <c r="J53" s="2"/>
    </row>
    <row r="54" spans="1:15" x14ac:dyDescent="0.25">
      <c r="A54" s="4" t="s">
        <v>111</v>
      </c>
      <c r="H54" t="s">
        <v>27</v>
      </c>
      <c r="I54" s="2"/>
      <c r="J54" s="2"/>
    </row>
    <row r="55" spans="1:15" x14ac:dyDescent="0.25">
      <c r="A55" s="4" t="s">
        <v>21</v>
      </c>
      <c r="H55" t="s">
        <v>64</v>
      </c>
    </row>
    <row r="56" spans="1:15" x14ac:dyDescent="0.25">
      <c r="A56" s="4" t="s">
        <v>32</v>
      </c>
      <c r="H56" t="s">
        <v>28</v>
      </c>
    </row>
    <row r="57" spans="1:15" x14ac:dyDescent="0.25">
      <c r="A57" s="4" t="s">
        <v>37</v>
      </c>
      <c r="H57" t="s">
        <v>39</v>
      </c>
    </row>
    <row r="58" spans="1:15" x14ac:dyDescent="0.25">
      <c r="A58" s="4" t="s">
        <v>128</v>
      </c>
      <c r="H58" t="s">
        <v>129</v>
      </c>
      <c r="I58" s="103"/>
      <c r="J58" s="103"/>
      <c r="K58" s="103"/>
      <c r="L58" s="103"/>
      <c r="M58" s="103"/>
    </row>
    <row r="59" spans="1:15" x14ac:dyDescent="0.25">
      <c r="A59" s="4" t="s">
        <v>35</v>
      </c>
      <c r="B59" s="103"/>
      <c r="C59" s="103"/>
      <c r="E59" s="103"/>
      <c r="F59" s="103"/>
      <c r="G59" s="103"/>
      <c r="I59" s="104"/>
      <c r="J59" s="104"/>
      <c r="K59" s="104"/>
      <c r="L59" s="104"/>
      <c r="M59" s="104"/>
      <c r="N59" s="103"/>
      <c r="O59" s="103"/>
    </row>
    <row r="60" spans="1:15" x14ac:dyDescent="0.25">
      <c r="A60" s="4" t="s">
        <v>62</v>
      </c>
      <c r="B60" s="104"/>
      <c r="C60" s="104"/>
      <c r="D60" s="103"/>
      <c r="E60" s="104"/>
      <c r="F60" s="104"/>
      <c r="G60" s="104"/>
      <c r="I60" s="21"/>
      <c r="J60" s="21"/>
      <c r="K60" s="21"/>
      <c r="L60" s="21"/>
      <c r="M60" s="21"/>
      <c r="N60" s="104"/>
      <c r="O60" s="104"/>
    </row>
    <row r="61" spans="1:15" x14ac:dyDescent="0.25">
      <c r="A61" s="4" t="s">
        <v>63</v>
      </c>
      <c r="B61" s="21"/>
      <c r="C61" s="21"/>
      <c r="D61" s="104"/>
      <c r="E61" s="21"/>
      <c r="F61" s="21"/>
      <c r="G61" s="21"/>
      <c r="H61" s="103"/>
      <c r="N61" s="21"/>
      <c r="O61" s="21"/>
    </row>
    <row r="62" spans="1:15" x14ac:dyDescent="0.25">
      <c r="A62" s="4" t="s">
        <v>65</v>
      </c>
      <c r="D62" s="21"/>
      <c r="H62" s="104"/>
    </row>
    <row r="63" spans="1:15" x14ac:dyDescent="0.25">
      <c r="A63" s="4"/>
      <c r="H63" s="21"/>
    </row>
    <row r="64" spans="1:15" x14ac:dyDescent="0.25">
      <c r="A64" s="6" t="s">
        <v>26</v>
      </c>
    </row>
    <row r="65" spans="1:1" x14ac:dyDescent="0.25">
      <c r="A65" s="64" t="s">
        <v>34</v>
      </c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4"/>
    </row>
  </sheetData>
  <mergeCells count="10">
    <mergeCell ref="C22:C33"/>
    <mergeCell ref="L34:AB34"/>
    <mergeCell ref="A36:O36"/>
    <mergeCell ref="K9:K33"/>
    <mergeCell ref="A1:O6"/>
    <mergeCell ref="P1:AB6"/>
    <mergeCell ref="A7:B7"/>
    <mergeCell ref="D7:J7"/>
    <mergeCell ref="L7:O7"/>
    <mergeCell ref="P7:AB7"/>
  </mergeCells>
  <phoneticPr fontId="16" type="noConversion"/>
  <pageMargins left="0.7" right="0.7" top="0.75" bottom="0.75" header="0.3" footer="0.3"/>
  <pageSetup scale="37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0402D-7F23-4615-95D3-96FD08C87762}">
  <sheetPr>
    <pageSetUpPr fitToPage="1"/>
  </sheetPr>
  <dimension ref="A1:AB75"/>
  <sheetViews>
    <sheetView workbookViewId="0">
      <selection activeCell="K9" sqref="K9:K25"/>
    </sheetView>
  </sheetViews>
  <sheetFormatPr defaultRowHeight="15" x14ac:dyDescent="0.25"/>
  <cols>
    <col min="1" max="1" width="8.42578125" customWidth="1"/>
    <col min="2" max="2" width="16.5703125" customWidth="1"/>
    <col min="3" max="3" width="18.85546875" customWidth="1"/>
    <col min="4" max="4" width="14.7109375" customWidth="1"/>
    <col min="5" max="5" width="10.5703125" bestFit="1" customWidth="1"/>
    <col min="6" max="6" width="8" bestFit="1" customWidth="1"/>
    <col min="7" max="7" width="10" bestFit="1" customWidth="1"/>
    <col min="8" max="8" width="11.28515625" bestFit="1" customWidth="1"/>
    <col min="9" max="9" width="10.42578125" customWidth="1"/>
    <col min="10" max="10" width="12.7109375" customWidth="1"/>
    <col min="11" max="11" width="17.140625" customWidth="1"/>
    <col min="12" max="12" width="9.7109375" customWidth="1"/>
    <col min="13" max="13" width="13.42578125" customWidth="1"/>
    <col min="14" max="14" width="11" bestFit="1" customWidth="1"/>
    <col min="15" max="15" width="12.42578125" customWidth="1"/>
    <col min="16" max="17" width="11" bestFit="1" customWidth="1"/>
    <col min="18" max="18" width="11.140625" bestFit="1" customWidth="1"/>
    <col min="19" max="19" width="11.28515625" bestFit="1" customWidth="1"/>
    <col min="20" max="20" width="10.85546875" customWidth="1"/>
    <col min="21" max="25" width="11" bestFit="1" customWidth="1"/>
    <col min="26" max="27" width="10.85546875" customWidth="1"/>
    <col min="28" max="28" width="10.85546875" bestFit="1" customWidth="1"/>
  </cols>
  <sheetData>
    <row r="1" spans="1:28" ht="15" customHeight="1" x14ac:dyDescent="0.25">
      <c r="A1" s="145" t="s">
        <v>125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7"/>
      <c r="P1" s="154" t="s">
        <v>67</v>
      </c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6"/>
    </row>
    <row r="2" spans="1:28" ht="15" customHeight="1" x14ac:dyDescent="0.25">
      <c r="A2" s="148"/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50"/>
      <c r="P2" s="157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9"/>
    </row>
    <row r="3" spans="1:28" ht="15" customHeight="1" x14ac:dyDescent="0.25">
      <c r="A3" s="148"/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50"/>
      <c r="P3" s="157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</row>
    <row r="4" spans="1:28" ht="15" customHeight="1" x14ac:dyDescent="0.25">
      <c r="A4" s="148"/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50"/>
      <c r="P4" s="157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9"/>
    </row>
    <row r="5" spans="1:28" ht="15" customHeight="1" x14ac:dyDescent="0.25">
      <c r="A5" s="148"/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50"/>
      <c r="P5" s="157"/>
      <c r="Q5" s="158"/>
      <c r="R5" s="158"/>
      <c r="S5" s="158"/>
      <c r="T5" s="158"/>
      <c r="U5" s="158"/>
      <c r="V5" s="158"/>
      <c r="W5" s="158"/>
      <c r="X5" s="158"/>
      <c r="Y5" s="158"/>
      <c r="Z5" s="158"/>
      <c r="AA5" s="158"/>
      <c r="AB5" s="159"/>
    </row>
    <row r="6" spans="1:28" ht="15.75" customHeight="1" thickBot="1" x14ac:dyDescent="0.3">
      <c r="A6" s="151"/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3"/>
      <c r="P6" s="160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2"/>
    </row>
    <row r="7" spans="1:28" ht="15.75" thickBot="1" x14ac:dyDescent="0.3">
      <c r="A7" s="163" t="s">
        <v>17</v>
      </c>
      <c r="B7" s="164"/>
      <c r="C7" s="14" t="s">
        <v>30</v>
      </c>
      <c r="D7" s="163" t="s">
        <v>10</v>
      </c>
      <c r="E7" s="165"/>
      <c r="F7" s="165"/>
      <c r="G7" s="165"/>
      <c r="H7" s="165"/>
      <c r="I7" s="165"/>
      <c r="J7" s="164"/>
      <c r="K7" s="15" t="s">
        <v>29</v>
      </c>
      <c r="L7" s="163" t="s">
        <v>12</v>
      </c>
      <c r="M7" s="165"/>
      <c r="N7" s="165"/>
      <c r="O7" s="164"/>
      <c r="P7" s="166" t="s">
        <v>36</v>
      </c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8"/>
    </row>
    <row r="8" spans="1:28" s="1" customFormat="1" ht="45.75" thickBot="1" x14ac:dyDescent="0.3">
      <c r="A8" s="55" t="s">
        <v>71</v>
      </c>
      <c r="B8" s="56" t="s">
        <v>9</v>
      </c>
      <c r="C8" s="57" t="s">
        <v>11</v>
      </c>
      <c r="D8" s="55" t="s">
        <v>72</v>
      </c>
      <c r="E8" s="58" t="s">
        <v>0</v>
      </c>
      <c r="F8" s="59" t="s">
        <v>5</v>
      </c>
      <c r="G8" s="59" t="s">
        <v>6</v>
      </c>
      <c r="H8" s="59" t="s">
        <v>7</v>
      </c>
      <c r="I8" s="60" t="s">
        <v>8</v>
      </c>
      <c r="J8" s="61" t="s">
        <v>13</v>
      </c>
      <c r="K8" s="61" t="s">
        <v>68</v>
      </c>
      <c r="L8" s="55" t="s">
        <v>71</v>
      </c>
      <c r="M8" s="56" t="s">
        <v>14</v>
      </c>
      <c r="N8" s="62" t="s">
        <v>15</v>
      </c>
      <c r="O8" s="62" t="s">
        <v>114</v>
      </c>
      <c r="P8" s="110" t="s">
        <v>52</v>
      </c>
      <c r="Q8" s="110" t="s">
        <v>51</v>
      </c>
      <c r="R8" s="110" t="s">
        <v>54</v>
      </c>
      <c r="S8" s="110" t="s">
        <v>45</v>
      </c>
      <c r="T8" s="110" t="s">
        <v>47</v>
      </c>
      <c r="U8" s="110" t="s">
        <v>48</v>
      </c>
      <c r="V8" s="110" t="s">
        <v>44</v>
      </c>
      <c r="W8" s="110" t="s">
        <v>46</v>
      </c>
      <c r="X8" s="110" t="s">
        <v>49</v>
      </c>
      <c r="Y8" s="110" t="s">
        <v>50</v>
      </c>
      <c r="Z8" s="110" t="s">
        <v>53</v>
      </c>
      <c r="AA8" s="111" t="s">
        <v>55</v>
      </c>
      <c r="AB8" s="10" t="s">
        <v>56</v>
      </c>
    </row>
    <row r="9" spans="1:28" ht="15" customHeight="1" x14ac:dyDescent="0.25">
      <c r="A9" s="31">
        <v>3</v>
      </c>
      <c r="B9" s="28">
        <v>1050</v>
      </c>
      <c r="C9" s="26" t="s">
        <v>1</v>
      </c>
      <c r="D9" s="31">
        <v>3</v>
      </c>
      <c r="E9" s="51">
        <v>115</v>
      </c>
      <c r="F9" s="25">
        <v>8.57</v>
      </c>
      <c r="G9" s="8">
        <v>9.6</v>
      </c>
      <c r="H9" s="8">
        <v>19.5</v>
      </c>
      <c r="I9" s="22">
        <f t="shared" ref="I9:I33" si="0">SUM(E9:H9)</f>
        <v>152.66999999999999</v>
      </c>
      <c r="J9" s="11">
        <f t="shared" ref="J9:J33" si="1">I9*D9</f>
        <v>458.01</v>
      </c>
      <c r="K9" s="137" t="s">
        <v>109</v>
      </c>
      <c r="L9" s="31">
        <v>3</v>
      </c>
      <c r="M9" s="108">
        <v>975</v>
      </c>
      <c r="N9" s="109">
        <v>1365</v>
      </c>
      <c r="O9" s="108">
        <v>1755</v>
      </c>
      <c r="P9" s="175">
        <v>9930</v>
      </c>
      <c r="Q9" s="178">
        <v>10230</v>
      </c>
      <c r="R9" s="178">
        <v>10230</v>
      </c>
      <c r="S9" s="178">
        <v>9780</v>
      </c>
      <c r="T9" s="178">
        <v>9780</v>
      </c>
      <c r="U9" s="178">
        <v>11080</v>
      </c>
      <c r="V9" s="178">
        <v>9780</v>
      </c>
      <c r="W9" s="178">
        <v>11080</v>
      </c>
      <c r="X9" s="178">
        <v>11580</v>
      </c>
      <c r="Y9" s="178">
        <v>11580</v>
      </c>
      <c r="Z9" s="178">
        <v>12380</v>
      </c>
      <c r="AA9" s="186">
        <v>12280</v>
      </c>
      <c r="AB9" s="181">
        <v>195</v>
      </c>
    </row>
    <row r="10" spans="1:28" ht="15" customHeight="1" x14ac:dyDescent="0.25">
      <c r="A10" s="32">
        <v>5</v>
      </c>
      <c r="B10" s="29">
        <v>1050</v>
      </c>
      <c r="C10" s="27" t="s">
        <v>1</v>
      </c>
      <c r="D10" s="32">
        <v>5</v>
      </c>
      <c r="E10" s="52">
        <v>115</v>
      </c>
      <c r="F10" s="7">
        <v>8.57</v>
      </c>
      <c r="G10" s="7">
        <v>9.6</v>
      </c>
      <c r="H10" s="7">
        <v>19.5</v>
      </c>
      <c r="I10" s="23">
        <f t="shared" si="0"/>
        <v>152.66999999999999</v>
      </c>
      <c r="J10" s="12">
        <f t="shared" si="1"/>
        <v>763.34999999999991</v>
      </c>
      <c r="K10" s="138"/>
      <c r="L10" s="32">
        <v>5</v>
      </c>
      <c r="M10" s="105">
        <v>975</v>
      </c>
      <c r="N10" s="107">
        <v>1365</v>
      </c>
      <c r="O10" s="105">
        <v>1755</v>
      </c>
      <c r="P10" s="176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87"/>
      <c r="AB10" s="182"/>
    </row>
    <row r="11" spans="1:28" ht="15" customHeight="1" x14ac:dyDescent="0.25">
      <c r="A11" s="32">
        <v>7</v>
      </c>
      <c r="B11" s="29">
        <v>1050</v>
      </c>
      <c r="C11" s="27" t="s">
        <v>1</v>
      </c>
      <c r="D11" s="32">
        <v>7</v>
      </c>
      <c r="E11" s="52">
        <v>115</v>
      </c>
      <c r="F11" s="7">
        <v>8.57</v>
      </c>
      <c r="G11" s="7">
        <v>9.6</v>
      </c>
      <c r="H11" s="7">
        <v>19.5</v>
      </c>
      <c r="I11" s="23">
        <f t="shared" si="0"/>
        <v>152.66999999999999</v>
      </c>
      <c r="J11" s="12">
        <f t="shared" si="1"/>
        <v>1068.6899999999998</v>
      </c>
      <c r="K11" s="138"/>
      <c r="L11" s="32">
        <v>7</v>
      </c>
      <c r="M11" s="105">
        <v>975</v>
      </c>
      <c r="N11" s="107">
        <v>1365</v>
      </c>
      <c r="O11" s="105">
        <v>1755</v>
      </c>
      <c r="P11" s="176"/>
      <c r="Q11" s="179"/>
      <c r="R11" s="179"/>
      <c r="S11" s="179"/>
      <c r="T11" s="179"/>
      <c r="U11" s="179"/>
      <c r="V11" s="179"/>
      <c r="W11" s="179"/>
      <c r="X11" s="179"/>
      <c r="Y11" s="179"/>
      <c r="Z11" s="179"/>
      <c r="AA11" s="187"/>
      <c r="AB11" s="182"/>
    </row>
    <row r="12" spans="1:28" ht="15" customHeight="1" x14ac:dyDescent="0.25">
      <c r="A12" s="32">
        <v>10</v>
      </c>
      <c r="B12" s="29">
        <v>1050</v>
      </c>
      <c r="C12" s="27" t="s">
        <v>1</v>
      </c>
      <c r="D12" s="32">
        <v>10</v>
      </c>
      <c r="E12" s="52">
        <v>115</v>
      </c>
      <c r="F12" s="7">
        <v>8.57</v>
      </c>
      <c r="G12" s="7">
        <v>9.6</v>
      </c>
      <c r="H12" s="7">
        <v>19.5</v>
      </c>
      <c r="I12" s="23">
        <f t="shared" si="0"/>
        <v>152.66999999999999</v>
      </c>
      <c r="J12" s="12">
        <f t="shared" si="1"/>
        <v>1526.6999999999998</v>
      </c>
      <c r="K12" s="138"/>
      <c r="L12" s="32">
        <v>10</v>
      </c>
      <c r="M12" s="105">
        <v>975</v>
      </c>
      <c r="N12" s="107">
        <v>1365</v>
      </c>
      <c r="O12" s="105">
        <v>1755</v>
      </c>
      <c r="P12" s="176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87"/>
      <c r="AB12" s="182"/>
    </row>
    <row r="13" spans="1:28" ht="15" customHeight="1" x14ac:dyDescent="0.25">
      <c r="A13" s="32">
        <v>15</v>
      </c>
      <c r="B13" s="29">
        <v>1150</v>
      </c>
      <c r="C13" s="27" t="s">
        <v>1</v>
      </c>
      <c r="D13" s="32">
        <v>15</v>
      </c>
      <c r="E13" s="52">
        <v>115</v>
      </c>
      <c r="F13" s="7">
        <v>8.57</v>
      </c>
      <c r="G13" s="7">
        <v>9.6</v>
      </c>
      <c r="H13" s="7">
        <v>19.5</v>
      </c>
      <c r="I13" s="23">
        <f t="shared" si="0"/>
        <v>152.66999999999999</v>
      </c>
      <c r="J13" s="12">
        <f t="shared" si="1"/>
        <v>2290.0499999999997</v>
      </c>
      <c r="K13" s="138"/>
      <c r="L13" s="41">
        <v>15</v>
      </c>
      <c r="M13" s="105">
        <v>975</v>
      </c>
      <c r="N13" s="107">
        <v>1365</v>
      </c>
      <c r="O13" s="105">
        <v>1755</v>
      </c>
      <c r="P13" s="177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8"/>
      <c r="AB13" s="135"/>
    </row>
    <row r="14" spans="1:28" ht="15" customHeight="1" x14ac:dyDescent="0.25">
      <c r="A14" s="32">
        <v>17</v>
      </c>
      <c r="B14" s="29">
        <v>1150</v>
      </c>
      <c r="C14" s="27" t="s">
        <v>1</v>
      </c>
      <c r="D14" s="32">
        <v>17</v>
      </c>
      <c r="E14" s="52">
        <v>115</v>
      </c>
      <c r="F14" s="7">
        <v>8.57</v>
      </c>
      <c r="G14" s="7">
        <v>9.6</v>
      </c>
      <c r="H14" s="7">
        <v>19.5</v>
      </c>
      <c r="I14" s="23">
        <f t="shared" si="0"/>
        <v>152.66999999999999</v>
      </c>
      <c r="J14" s="12">
        <f t="shared" si="1"/>
        <v>2595.39</v>
      </c>
      <c r="K14" s="138"/>
      <c r="L14" s="41">
        <v>17</v>
      </c>
      <c r="M14" s="105">
        <v>975</v>
      </c>
      <c r="N14" s="107">
        <v>1365</v>
      </c>
      <c r="O14" s="105">
        <v>1755</v>
      </c>
      <c r="P14" s="177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8"/>
      <c r="AB14" s="135"/>
    </row>
    <row r="15" spans="1:28" ht="15" customHeight="1" x14ac:dyDescent="0.25">
      <c r="A15" s="32">
        <v>18</v>
      </c>
      <c r="B15" s="29">
        <v>1150</v>
      </c>
      <c r="C15" s="27" t="s">
        <v>1</v>
      </c>
      <c r="D15" s="32">
        <v>18</v>
      </c>
      <c r="E15" s="52">
        <v>115</v>
      </c>
      <c r="F15" s="7">
        <v>8.57</v>
      </c>
      <c r="G15" s="7">
        <v>9.6</v>
      </c>
      <c r="H15" s="7">
        <v>19.5</v>
      </c>
      <c r="I15" s="23">
        <f t="shared" si="0"/>
        <v>152.66999999999999</v>
      </c>
      <c r="J15" s="12">
        <f t="shared" si="1"/>
        <v>2748.06</v>
      </c>
      <c r="K15" s="138"/>
      <c r="L15" s="41">
        <v>18</v>
      </c>
      <c r="M15" s="105">
        <v>975</v>
      </c>
      <c r="N15" s="107">
        <v>1365</v>
      </c>
      <c r="O15" s="105">
        <v>1755</v>
      </c>
      <c r="P15" s="177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8"/>
      <c r="AB15" s="135"/>
    </row>
    <row r="16" spans="1:28" ht="15" customHeight="1" x14ac:dyDescent="0.25">
      <c r="A16" s="33">
        <v>20</v>
      </c>
      <c r="B16" s="29">
        <v>1150</v>
      </c>
      <c r="C16" s="27" t="s">
        <v>1</v>
      </c>
      <c r="D16" s="33">
        <v>20</v>
      </c>
      <c r="E16" s="52">
        <v>98</v>
      </c>
      <c r="F16" s="7">
        <v>8.57</v>
      </c>
      <c r="G16" s="7">
        <v>9.6</v>
      </c>
      <c r="H16" s="7">
        <v>19.5</v>
      </c>
      <c r="I16" s="23">
        <f t="shared" si="0"/>
        <v>135.66999999999999</v>
      </c>
      <c r="J16" s="12">
        <f t="shared" si="1"/>
        <v>2713.3999999999996</v>
      </c>
      <c r="K16" s="138"/>
      <c r="L16" s="42">
        <v>20</v>
      </c>
      <c r="M16" s="105">
        <v>975</v>
      </c>
      <c r="N16" s="107">
        <v>1365</v>
      </c>
      <c r="O16" s="105">
        <v>1755</v>
      </c>
      <c r="P16" s="177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8"/>
      <c r="AB16" s="135"/>
    </row>
    <row r="17" spans="1:28" ht="15.75" customHeight="1" x14ac:dyDescent="0.25">
      <c r="A17" s="33">
        <v>22</v>
      </c>
      <c r="B17" s="29">
        <v>1150</v>
      </c>
      <c r="C17" s="27" t="s">
        <v>1</v>
      </c>
      <c r="D17" s="33">
        <v>22</v>
      </c>
      <c r="E17" s="52">
        <v>98</v>
      </c>
      <c r="F17" s="7">
        <v>8.57</v>
      </c>
      <c r="G17" s="7">
        <v>9.6</v>
      </c>
      <c r="H17" s="7">
        <v>19.5</v>
      </c>
      <c r="I17" s="23">
        <f t="shared" si="0"/>
        <v>135.66999999999999</v>
      </c>
      <c r="J17" s="12">
        <f t="shared" si="1"/>
        <v>2984.74</v>
      </c>
      <c r="K17" s="138"/>
      <c r="L17" s="42">
        <v>22</v>
      </c>
      <c r="M17" s="105">
        <v>975</v>
      </c>
      <c r="N17" s="107">
        <v>1365</v>
      </c>
      <c r="O17" s="105">
        <v>1755</v>
      </c>
      <c r="P17" s="177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8"/>
      <c r="AB17" s="135"/>
    </row>
    <row r="18" spans="1:28" x14ac:dyDescent="0.25">
      <c r="A18" s="34">
        <v>24</v>
      </c>
      <c r="B18" s="29">
        <v>1300</v>
      </c>
      <c r="C18" s="27" t="s">
        <v>1</v>
      </c>
      <c r="D18" s="34">
        <v>24</v>
      </c>
      <c r="E18" s="52">
        <v>98</v>
      </c>
      <c r="F18" s="7">
        <v>8.57</v>
      </c>
      <c r="G18" s="7">
        <v>9.6</v>
      </c>
      <c r="H18" s="7">
        <v>19.5</v>
      </c>
      <c r="I18" s="23">
        <f t="shared" si="0"/>
        <v>135.66999999999999</v>
      </c>
      <c r="J18" s="12">
        <f t="shared" si="1"/>
        <v>3256.08</v>
      </c>
      <c r="K18" s="138"/>
      <c r="L18" s="43">
        <v>24</v>
      </c>
      <c r="M18" s="105">
        <v>1400</v>
      </c>
      <c r="N18" s="107">
        <v>1960</v>
      </c>
      <c r="O18" s="105">
        <v>2520</v>
      </c>
      <c r="P18" s="173">
        <v>10270</v>
      </c>
      <c r="Q18" s="170">
        <v>10570</v>
      </c>
      <c r="R18" s="170">
        <v>10570</v>
      </c>
      <c r="S18" s="170">
        <v>10120</v>
      </c>
      <c r="T18" s="170">
        <v>10120</v>
      </c>
      <c r="U18" s="170">
        <v>11420</v>
      </c>
      <c r="V18" s="170">
        <v>10120</v>
      </c>
      <c r="W18" s="170">
        <v>11420</v>
      </c>
      <c r="X18" s="170">
        <v>11920</v>
      </c>
      <c r="Y18" s="170">
        <v>11920</v>
      </c>
      <c r="Z18" s="170">
        <v>12720</v>
      </c>
      <c r="AA18" s="172">
        <v>12870</v>
      </c>
      <c r="AB18" s="169">
        <v>280</v>
      </c>
    </row>
    <row r="19" spans="1:28" ht="15" customHeight="1" x14ac:dyDescent="0.25">
      <c r="A19" s="34">
        <v>26</v>
      </c>
      <c r="B19" s="29">
        <v>1300</v>
      </c>
      <c r="C19" s="27" t="s">
        <v>1</v>
      </c>
      <c r="D19" s="34">
        <v>26</v>
      </c>
      <c r="E19" s="52">
        <v>98</v>
      </c>
      <c r="F19" s="7">
        <v>8.57</v>
      </c>
      <c r="G19" s="7">
        <v>9.6</v>
      </c>
      <c r="H19" s="7">
        <v>19.5</v>
      </c>
      <c r="I19" s="23">
        <f t="shared" si="0"/>
        <v>135.66999999999999</v>
      </c>
      <c r="J19" s="12">
        <f t="shared" si="1"/>
        <v>3527.4199999999996</v>
      </c>
      <c r="K19" s="138"/>
      <c r="L19" s="43">
        <v>26</v>
      </c>
      <c r="M19" s="105">
        <v>1400</v>
      </c>
      <c r="N19" s="107">
        <v>1960</v>
      </c>
      <c r="O19" s="105">
        <v>2520</v>
      </c>
      <c r="P19" s="173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2"/>
      <c r="AB19" s="169"/>
    </row>
    <row r="20" spans="1:28" x14ac:dyDescent="0.25">
      <c r="A20" s="32">
        <v>28</v>
      </c>
      <c r="B20" s="29">
        <v>1300</v>
      </c>
      <c r="C20" s="27" t="s">
        <v>1</v>
      </c>
      <c r="D20" s="32">
        <v>28</v>
      </c>
      <c r="E20" s="52">
        <v>98</v>
      </c>
      <c r="F20" s="7">
        <v>8.57</v>
      </c>
      <c r="G20" s="7">
        <v>9.6</v>
      </c>
      <c r="H20" s="7">
        <v>19.5</v>
      </c>
      <c r="I20" s="23">
        <f t="shared" si="0"/>
        <v>135.66999999999999</v>
      </c>
      <c r="J20" s="12">
        <f t="shared" si="1"/>
        <v>3798.7599999999998</v>
      </c>
      <c r="K20" s="138"/>
      <c r="L20" s="41">
        <v>28</v>
      </c>
      <c r="M20" s="105">
        <v>1400</v>
      </c>
      <c r="N20" s="107">
        <v>1960</v>
      </c>
      <c r="O20" s="105">
        <v>2520</v>
      </c>
      <c r="P20" s="173"/>
      <c r="Q20" s="170"/>
      <c r="R20" s="170"/>
      <c r="S20" s="170"/>
      <c r="T20" s="170"/>
      <c r="U20" s="170"/>
      <c r="V20" s="170"/>
      <c r="W20" s="170"/>
      <c r="X20" s="170"/>
      <c r="Y20" s="170"/>
      <c r="Z20" s="170"/>
      <c r="AA20" s="172"/>
      <c r="AB20" s="169"/>
    </row>
    <row r="21" spans="1:28" x14ac:dyDescent="0.25">
      <c r="A21" s="32">
        <v>30</v>
      </c>
      <c r="B21" s="29">
        <v>1300</v>
      </c>
      <c r="C21" s="27" t="s">
        <v>1</v>
      </c>
      <c r="D21" s="32">
        <v>30</v>
      </c>
      <c r="E21" s="52">
        <v>98</v>
      </c>
      <c r="F21" s="7">
        <v>8.57</v>
      </c>
      <c r="G21" s="7">
        <v>9.6</v>
      </c>
      <c r="H21" s="7">
        <v>19.5</v>
      </c>
      <c r="I21" s="23">
        <f t="shared" si="0"/>
        <v>135.66999999999999</v>
      </c>
      <c r="J21" s="12">
        <f t="shared" si="1"/>
        <v>4070.0999999999995</v>
      </c>
      <c r="K21" s="138"/>
      <c r="L21" s="41">
        <v>30</v>
      </c>
      <c r="M21" s="105">
        <v>1400</v>
      </c>
      <c r="N21" s="107">
        <v>1960</v>
      </c>
      <c r="O21" s="105">
        <v>2520</v>
      </c>
      <c r="P21" s="173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2"/>
      <c r="AB21" s="169"/>
    </row>
    <row r="22" spans="1:28" x14ac:dyDescent="0.25">
      <c r="A22" s="32">
        <v>32</v>
      </c>
      <c r="B22" s="29">
        <v>1300</v>
      </c>
      <c r="C22" s="135" t="s">
        <v>124</v>
      </c>
      <c r="D22" s="32">
        <v>32</v>
      </c>
      <c r="E22" s="52">
        <v>98</v>
      </c>
      <c r="F22" s="7">
        <v>8.57</v>
      </c>
      <c r="G22" s="7">
        <v>9.6</v>
      </c>
      <c r="H22" s="7">
        <v>19.5</v>
      </c>
      <c r="I22" s="23">
        <f t="shared" si="0"/>
        <v>135.66999999999999</v>
      </c>
      <c r="J22" s="12">
        <f t="shared" si="1"/>
        <v>4341.4399999999996</v>
      </c>
      <c r="K22" s="138"/>
      <c r="L22" s="41">
        <v>32</v>
      </c>
      <c r="M22" s="105">
        <v>1600</v>
      </c>
      <c r="N22" s="107">
        <v>2240</v>
      </c>
      <c r="O22" s="105">
        <v>2880</v>
      </c>
      <c r="P22" s="173">
        <v>12680</v>
      </c>
      <c r="Q22" s="170">
        <v>11980</v>
      </c>
      <c r="R22" s="170">
        <v>12680</v>
      </c>
      <c r="S22" s="170">
        <v>12680</v>
      </c>
      <c r="T22" s="170">
        <v>12680</v>
      </c>
      <c r="U22" s="170">
        <v>12780</v>
      </c>
      <c r="V22" s="170">
        <v>12880</v>
      </c>
      <c r="W22" s="170">
        <v>12980</v>
      </c>
      <c r="X22" s="170">
        <v>13480</v>
      </c>
      <c r="Y22" s="170">
        <v>13880</v>
      </c>
      <c r="Z22" s="170">
        <v>14380</v>
      </c>
      <c r="AA22" s="172">
        <v>14580</v>
      </c>
      <c r="AB22" s="169">
        <v>320</v>
      </c>
    </row>
    <row r="23" spans="1:28" x14ac:dyDescent="0.25">
      <c r="A23" s="32">
        <v>34</v>
      </c>
      <c r="B23" s="29">
        <v>1500</v>
      </c>
      <c r="C23" s="135"/>
      <c r="D23" s="32">
        <v>34</v>
      </c>
      <c r="E23" s="52">
        <v>98</v>
      </c>
      <c r="F23" s="7">
        <v>8.57</v>
      </c>
      <c r="G23" s="7">
        <v>9.6</v>
      </c>
      <c r="H23" s="7">
        <v>19.5</v>
      </c>
      <c r="I23" s="23">
        <f t="shared" si="0"/>
        <v>135.66999999999999</v>
      </c>
      <c r="J23" s="12">
        <f t="shared" si="1"/>
        <v>4612.78</v>
      </c>
      <c r="K23" s="138"/>
      <c r="L23" s="41">
        <v>34</v>
      </c>
      <c r="M23" s="105">
        <v>1600</v>
      </c>
      <c r="N23" s="107">
        <v>2240</v>
      </c>
      <c r="O23" s="105">
        <v>2880</v>
      </c>
      <c r="P23" s="173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2"/>
      <c r="AB23" s="169"/>
    </row>
    <row r="24" spans="1:28" x14ac:dyDescent="0.25">
      <c r="A24" s="33">
        <v>36</v>
      </c>
      <c r="B24" s="29">
        <v>1500</v>
      </c>
      <c r="C24" s="135"/>
      <c r="D24" s="33">
        <v>36</v>
      </c>
      <c r="E24" s="52">
        <v>98</v>
      </c>
      <c r="F24" s="7">
        <v>8.57</v>
      </c>
      <c r="G24" s="7">
        <v>9.6</v>
      </c>
      <c r="H24" s="7">
        <v>19.5</v>
      </c>
      <c r="I24" s="23">
        <f t="shared" si="0"/>
        <v>135.66999999999999</v>
      </c>
      <c r="J24" s="12">
        <f t="shared" si="1"/>
        <v>4884.12</v>
      </c>
      <c r="K24" s="138"/>
      <c r="L24" s="42">
        <v>36</v>
      </c>
      <c r="M24" s="105">
        <v>1600</v>
      </c>
      <c r="N24" s="107">
        <v>2240</v>
      </c>
      <c r="O24" s="105">
        <v>2880</v>
      </c>
      <c r="P24" s="173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2"/>
      <c r="AB24" s="169"/>
    </row>
    <row r="25" spans="1:28" ht="15.75" thickBot="1" x14ac:dyDescent="0.3">
      <c r="A25" s="33">
        <v>38</v>
      </c>
      <c r="B25" s="29">
        <v>1500</v>
      </c>
      <c r="C25" s="135"/>
      <c r="D25" s="33">
        <v>38</v>
      </c>
      <c r="E25" s="52">
        <v>98</v>
      </c>
      <c r="F25" s="7">
        <v>8.57</v>
      </c>
      <c r="G25" s="7">
        <v>9.6</v>
      </c>
      <c r="H25" s="7">
        <v>19.5</v>
      </c>
      <c r="I25" s="23">
        <f t="shared" si="0"/>
        <v>135.66999999999999</v>
      </c>
      <c r="J25" s="12">
        <f t="shared" si="1"/>
        <v>5155.4599999999991</v>
      </c>
      <c r="K25" s="139"/>
      <c r="L25" s="42">
        <v>38</v>
      </c>
      <c r="M25" s="105">
        <v>1600</v>
      </c>
      <c r="N25" s="107">
        <v>2240</v>
      </c>
      <c r="O25" s="105">
        <v>2880</v>
      </c>
      <c r="P25" s="173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2"/>
      <c r="AB25" s="169"/>
    </row>
    <row r="26" spans="1:28" x14ac:dyDescent="0.25">
      <c r="A26" s="34">
        <v>41</v>
      </c>
      <c r="B26" s="29">
        <v>1500</v>
      </c>
      <c r="C26" s="135"/>
      <c r="D26" s="34">
        <v>41</v>
      </c>
      <c r="E26" s="52">
        <v>98</v>
      </c>
      <c r="F26" s="7">
        <v>8.57</v>
      </c>
      <c r="G26" s="7">
        <v>9.6</v>
      </c>
      <c r="H26" s="7">
        <v>19.5</v>
      </c>
      <c r="I26" s="23">
        <f t="shared" si="0"/>
        <v>135.66999999999999</v>
      </c>
      <c r="J26" s="12">
        <f t="shared" si="1"/>
        <v>5562.4699999999993</v>
      </c>
      <c r="K26" s="137" t="s">
        <v>110</v>
      </c>
      <c r="L26" s="43">
        <v>41</v>
      </c>
      <c r="M26" s="105">
        <v>1600</v>
      </c>
      <c r="N26" s="107">
        <v>2240</v>
      </c>
      <c r="O26" s="105">
        <v>2880</v>
      </c>
      <c r="P26" s="173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2"/>
      <c r="AB26" s="169"/>
    </row>
    <row r="27" spans="1:28" x14ac:dyDescent="0.25">
      <c r="A27" s="34">
        <v>44</v>
      </c>
      <c r="B27" s="29">
        <v>1500</v>
      </c>
      <c r="C27" s="135"/>
      <c r="D27" s="34">
        <v>44</v>
      </c>
      <c r="E27" s="52">
        <v>98</v>
      </c>
      <c r="F27" s="7">
        <v>8.57</v>
      </c>
      <c r="G27" s="7">
        <v>9.6</v>
      </c>
      <c r="H27" s="7">
        <v>19.5</v>
      </c>
      <c r="I27" s="23">
        <f t="shared" si="0"/>
        <v>135.66999999999999</v>
      </c>
      <c r="J27" s="12">
        <f t="shared" si="1"/>
        <v>5969.48</v>
      </c>
      <c r="K27" s="138"/>
      <c r="L27" s="43">
        <v>44</v>
      </c>
      <c r="M27" s="105">
        <v>1600</v>
      </c>
      <c r="N27" s="107">
        <v>2240</v>
      </c>
      <c r="O27" s="105">
        <v>2880</v>
      </c>
      <c r="P27" s="173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2"/>
      <c r="AB27" s="169"/>
    </row>
    <row r="28" spans="1:28" x14ac:dyDescent="0.25">
      <c r="A28" s="34">
        <v>46</v>
      </c>
      <c r="B28" s="29">
        <v>1950</v>
      </c>
      <c r="C28" s="135"/>
      <c r="D28" s="34">
        <v>46</v>
      </c>
      <c r="E28" s="52">
        <v>98</v>
      </c>
      <c r="F28" s="7">
        <v>8.57</v>
      </c>
      <c r="G28" s="7">
        <v>9.6</v>
      </c>
      <c r="H28" s="7">
        <v>19.5</v>
      </c>
      <c r="I28" s="23">
        <f t="shared" si="0"/>
        <v>135.66999999999999</v>
      </c>
      <c r="J28" s="12">
        <f t="shared" si="1"/>
        <v>6240.82</v>
      </c>
      <c r="K28" s="138"/>
      <c r="L28" s="43">
        <v>46</v>
      </c>
      <c r="M28" s="105">
        <f>320*5</f>
        <v>1600</v>
      </c>
      <c r="N28" s="107">
        <v>2240</v>
      </c>
      <c r="O28" s="105">
        <v>2880</v>
      </c>
      <c r="P28" s="173"/>
      <c r="Q28" s="170"/>
      <c r="R28" s="170"/>
      <c r="S28" s="170"/>
      <c r="T28" s="170"/>
      <c r="U28" s="170"/>
      <c r="V28" s="170"/>
      <c r="W28" s="170"/>
      <c r="X28" s="170"/>
      <c r="Y28" s="170"/>
      <c r="Z28" s="170"/>
      <c r="AA28" s="172"/>
      <c r="AB28" s="169"/>
    </row>
    <row r="29" spans="1:28" x14ac:dyDescent="0.25">
      <c r="A29" s="34">
        <v>48</v>
      </c>
      <c r="B29" s="29">
        <v>1950</v>
      </c>
      <c r="C29" s="135"/>
      <c r="D29" s="34">
        <v>48</v>
      </c>
      <c r="E29" s="52">
        <v>98</v>
      </c>
      <c r="F29" s="7">
        <v>8.57</v>
      </c>
      <c r="G29" s="7">
        <v>9.6</v>
      </c>
      <c r="H29" s="7">
        <v>19.5</v>
      </c>
      <c r="I29" s="23">
        <f t="shared" si="0"/>
        <v>135.66999999999999</v>
      </c>
      <c r="J29" s="12">
        <f t="shared" si="1"/>
        <v>6512.16</v>
      </c>
      <c r="K29" s="138"/>
      <c r="L29" s="43">
        <v>48</v>
      </c>
      <c r="M29" s="105">
        <v>1750</v>
      </c>
      <c r="N29" s="107">
        <v>2450</v>
      </c>
      <c r="O29" s="105">
        <v>3150</v>
      </c>
      <c r="P29" s="173">
        <v>12800</v>
      </c>
      <c r="Q29" s="170">
        <v>12100</v>
      </c>
      <c r="R29" s="170">
        <v>12800</v>
      </c>
      <c r="S29" s="170">
        <v>12800</v>
      </c>
      <c r="T29" s="170">
        <v>12800</v>
      </c>
      <c r="U29" s="170">
        <v>12900</v>
      </c>
      <c r="V29" s="170">
        <v>13000</v>
      </c>
      <c r="W29" s="170">
        <v>13100</v>
      </c>
      <c r="X29" s="170">
        <v>13600</v>
      </c>
      <c r="Y29" s="170">
        <v>14000</v>
      </c>
      <c r="Z29" s="170">
        <v>14500</v>
      </c>
      <c r="AA29" s="172">
        <v>15700</v>
      </c>
      <c r="AB29" s="169">
        <v>350</v>
      </c>
    </row>
    <row r="30" spans="1:28" x14ac:dyDescent="0.25">
      <c r="A30" s="34">
        <v>50</v>
      </c>
      <c r="B30" s="29">
        <v>1950</v>
      </c>
      <c r="C30" s="135"/>
      <c r="D30" s="34">
        <v>50</v>
      </c>
      <c r="E30" s="52">
        <v>98</v>
      </c>
      <c r="F30" s="7">
        <v>8.57</v>
      </c>
      <c r="G30" s="7">
        <v>9.6</v>
      </c>
      <c r="H30" s="7">
        <v>19.5</v>
      </c>
      <c r="I30" s="23">
        <f t="shared" si="0"/>
        <v>135.66999999999999</v>
      </c>
      <c r="J30" s="12">
        <f t="shared" si="1"/>
        <v>6783.4999999999991</v>
      </c>
      <c r="K30" s="138"/>
      <c r="L30" s="43">
        <v>50</v>
      </c>
      <c r="M30" s="105">
        <v>1750</v>
      </c>
      <c r="N30" s="107">
        <v>2450</v>
      </c>
      <c r="O30" s="105">
        <v>3150</v>
      </c>
      <c r="P30" s="173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2"/>
      <c r="AB30" s="169"/>
    </row>
    <row r="31" spans="1:28" x14ac:dyDescent="0.25">
      <c r="A31" s="34">
        <v>52</v>
      </c>
      <c r="B31" s="29">
        <v>1950</v>
      </c>
      <c r="C31" s="135"/>
      <c r="D31" s="34">
        <v>52</v>
      </c>
      <c r="E31" s="52">
        <v>98</v>
      </c>
      <c r="F31" s="7">
        <v>8.57</v>
      </c>
      <c r="G31" s="7">
        <v>9.6</v>
      </c>
      <c r="H31" s="7">
        <v>19.5</v>
      </c>
      <c r="I31" s="23">
        <f t="shared" si="0"/>
        <v>135.66999999999999</v>
      </c>
      <c r="J31" s="12">
        <f t="shared" si="1"/>
        <v>7054.8399999999992</v>
      </c>
      <c r="K31" s="138"/>
      <c r="L31" s="43">
        <v>52</v>
      </c>
      <c r="M31" s="105">
        <v>2000</v>
      </c>
      <c r="N31" s="107">
        <v>2800</v>
      </c>
      <c r="O31" s="105">
        <v>3600</v>
      </c>
      <c r="P31" s="113">
        <v>13000</v>
      </c>
      <c r="Q31" s="112">
        <v>12300</v>
      </c>
      <c r="R31" s="112">
        <v>13000</v>
      </c>
      <c r="S31" s="112">
        <v>13000</v>
      </c>
      <c r="T31" s="112">
        <v>13000</v>
      </c>
      <c r="U31" s="112">
        <v>16200</v>
      </c>
      <c r="V31" s="112">
        <v>13200</v>
      </c>
      <c r="W31" s="112">
        <v>16200</v>
      </c>
      <c r="X31" s="112">
        <v>13800</v>
      </c>
      <c r="Y31" s="112">
        <v>14200</v>
      </c>
      <c r="Z31" s="112">
        <v>14700</v>
      </c>
      <c r="AA31" s="114">
        <v>15900</v>
      </c>
      <c r="AB31" s="115">
        <v>400</v>
      </c>
    </row>
    <row r="32" spans="1:28" x14ac:dyDescent="0.25">
      <c r="A32" s="34">
        <v>57</v>
      </c>
      <c r="B32" s="29">
        <v>2300</v>
      </c>
      <c r="C32" s="135"/>
      <c r="D32" s="34">
        <v>57</v>
      </c>
      <c r="E32" s="52">
        <v>98</v>
      </c>
      <c r="F32" s="7">
        <v>8.57</v>
      </c>
      <c r="G32" s="7">
        <v>9.6</v>
      </c>
      <c r="H32" s="7">
        <v>19.5</v>
      </c>
      <c r="I32" s="23">
        <f t="shared" si="0"/>
        <v>135.66999999999999</v>
      </c>
      <c r="J32" s="12">
        <f t="shared" si="1"/>
        <v>7733.19</v>
      </c>
      <c r="K32" s="138"/>
      <c r="L32" s="43">
        <v>57</v>
      </c>
      <c r="M32" s="105">
        <v>2000</v>
      </c>
      <c r="N32" s="107">
        <v>2800</v>
      </c>
      <c r="O32" s="105">
        <v>3600</v>
      </c>
      <c r="P32" s="173" t="s">
        <v>43</v>
      </c>
      <c r="Q32" s="170" t="s">
        <v>43</v>
      </c>
      <c r="R32" s="170" t="s">
        <v>43</v>
      </c>
      <c r="S32" s="170" t="s">
        <v>43</v>
      </c>
      <c r="T32" s="170" t="s">
        <v>43</v>
      </c>
      <c r="U32" s="170" t="s">
        <v>43</v>
      </c>
      <c r="V32" s="170" t="s">
        <v>43</v>
      </c>
      <c r="W32" s="170" t="s">
        <v>43</v>
      </c>
      <c r="X32" s="170" t="s">
        <v>43</v>
      </c>
      <c r="Y32" s="170" t="s">
        <v>43</v>
      </c>
      <c r="Z32" s="170" t="s">
        <v>43</v>
      </c>
      <c r="AA32" s="172" t="s">
        <v>43</v>
      </c>
      <c r="AB32" s="184" t="s">
        <v>43</v>
      </c>
    </row>
    <row r="33" spans="1:28" ht="15.75" thickBot="1" x14ac:dyDescent="0.3">
      <c r="A33" s="35">
        <v>59</v>
      </c>
      <c r="B33" s="30">
        <v>2300</v>
      </c>
      <c r="C33" s="136"/>
      <c r="D33" s="35">
        <v>59</v>
      </c>
      <c r="E33" s="53">
        <v>98</v>
      </c>
      <c r="F33" s="9">
        <v>8.57</v>
      </c>
      <c r="G33" s="9">
        <v>9.6</v>
      </c>
      <c r="H33" s="9">
        <v>19.5</v>
      </c>
      <c r="I33" s="24">
        <f t="shared" si="0"/>
        <v>135.66999999999999</v>
      </c>
      <c r="J33" s="13">
        <f t="shared" si="1"/>
        <v>8004.5299999999988</v>
      </c>
      <c r="K33" s="139"/>
      <c r="L33" s="44">
        <v>59</v>
      </c>
      <c r="M33" s="106">
        <v>2000</v>
      </c>
      <c r="N33" s="107">
        <v>2800</v>
      </c>
      <c r="O33" s="106">
        <v>3600</v>
      </c>
      <c r="P33" s="174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83"/>
      <c r="AB33" s="185"/>
    </row>
    <row r="34" spans="1:28" ht="15.75" thickBot="1" x14ac:dyDescent="0.3">
      <c r="A34" s="17"/>
      <c r="B34" s="2"/>
      <c r="C34" s="18"/>
      <c r="D34" s="17"/>
      <c r="E34" s="2"/>
      <c r="F34" s="2"/>
      <c r="G34" s="2"/>
      <c r="H34" s="2"/>
      <c r="I34" s="2"/>
      <c r="J34" s="2"/>
      <c r="K34" s="18"/>
      <c r="L34" s="140" t="s">
        <v>113</v>
      </c>
      <c r="M34" s="141"/>
      <c r="N34" s="141"/>
      <c r="O34" s="141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3"/>
    </row>
    <row r="35" spans="1:28" x14ac:dyDescent="0.25">
      <c r="A35" s="17"/>
      <c r="B35" s="2"/>
      <c r="C35" s="18"/>
      <c r="D35" s="17"/>
      <c r="E35" s="2"/>
      <c r="F35" s="19"/>
      <c r="G35" s="19"/>
      <c r="H35" s="19"/>
      <c r="I35" s="20"/>
      <c r="J35" s="2"/>
      <c r="K35" s="18"/>
      <c r="L35" s="17"/>
      <c r="M35" s="17"/>
      <c r="N35" s="17"/>
      <c r="O35" s="17"/>
    </row>
    <row r="36" spans="1:28" ht="23.25" x14ac:dyDescent="0.35">
      <c r="A36" s="144" t="s">
        <v>19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</row>
    <row r="37" spans="1:28" ht="15" customHeight="1" x14ac:dyDescent="0.3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</row>
    <row r="38" spans="1:28" ht="15.75" x14ac:dyDescent="0.25">
      <c r="A38" s="37" t="s">
        <v>18</v>
      </c>
      <c r="B38" s="5"/>
      <c r="C38" s="5"/>
      <c r="F38" s="6"/>
      <c r="G38" s="6"/>
      <c r="H38" s="38" t="s">
        <v>31</v>
      </c>
      <c r="I38" s="6"/>
      <c r="J38" s="6"/>
      <c r="K38" s="6"/>
      <c r="L38" s="6"/>
      <c r="M38" s="6"/>
      <c r="N38" s="6"/>
      <c r="O38" s="6"/>
    </row>
    <row r="39" spans="1:28" x14ac:dyDescent="0.25">
      <c r="A39" s="4" t="s">
        <v>16</v>
      </c>
      <c r="B39" s="5"/>
      <c r="C39" s="5"/>
      <c r="F39" s="6"/>
      <c r="G39" s="6"/>
      <c r="H39" t="s">
        <v>33</v>
      </c>
      <c r="I39" s="6"/>
      <c r="J39" s="6"/>
      <c r="K39" s="6"/>
      <c r="L39" s="6"/>
      <c r="M39" s="6"/>
      <c r="N39" s="6"/>
      <c r="O39" s="6"/>
    </row>
    <row r="40" spans="1:28" x14ac:dyDescent="0.25">
      <c r="A40" s="4" t="s">
        <v>115</v>
      </c>
      <c r="H40" s="1" t="s">
        <v>2</v>
      </c>
      <c r="J40" s="3"/>
    </row>
    <row r="41" spans="1:28" x14ac:dyDescent="0.25">
      <c r="A41" s="4" t="s">
        <v>65</v>
      </c>
      <c r="H41" s="1" t="s">
        <v>58</v>
      </c>
      <c r="J41" s="3"/>
    </row>
    <row r="42" spans="1:28" x14ac:dyDescent="0.25">
      <c r="A42" s="4" t="s">
        <v>116</v>
      </c>
      <c r="H42" s="1" t="s">
        <v>59</v>
      </c>
      <c r="J42" s="3"/>
    </row>
    <row r="43" spans="1:28" x14ac:dyDescent="0.25">
      <c r="A43" s="4" t="s">
        <v>117</v>
      </c>
      <c r="D43" s="5"/>
      <c r="E43" s="5"/>
      <c r="H43" s="1" t="s">
        <v>60</v>
      </c>
      <c r="J43" s="3"/>
    </row>
    <row r="44" spans="1:28" x14ac:dyDescent="0.25">
      <c r="A44" s="4"/>
      <c r="D44" s="5"/>
      <c r="E44" s="116"/>
      <c r="H44" t="s">
        <v>61</v>
      </c>
      <c r="J44" s="3"/>
    </row>
    <row r="45" spans="1:28" x14ac:dyDescent="0.25">
      <c r="A45" s="118" t="s">
        <v>118</v>
      </c>
      <c r="B45" s="118" t="s">
        <v>119</v>
      </c>
      <c r="D45" s="6"/>
      <c r="E45" s="117"/>
      <c r="H45" t="s">
        <v>112</v>
      </c>
      <c r="I45" s="2"/>
      <c r="J45" s="2"/>
    </row>
    <row r="46" spans="1:28" x14ac:dyDescent="0.25">
      <c r="A46" s="103" t="s">
        <v>123</v>
      </c>
      <c r="B46" s="116">
        <v>500</v>
      </c>
      <c r="E46" s="117"/>
      <c r="H46" t="s">
        <v>4</v>
      </c>
      <c r="I46" s="2"/>
      <c r="J46" s="2"/>
    </row>
    <row r="47" spans="1:28" x14ac:dyDescent="0.25">
      <c r="A47" s="21" t="s">
        <v>120</v>
      </c>
      <c r="B47" s="117">
        <v>600</v>
      </c>
      <c r="E47" s="117"/>
      <c r="H47" t="s">
        <v>66</v>
      </c>
    </row>
    <row r="48" spans="1:28" x14ac:dyDescent="0.25">
      <c r="A48" s="21" t="s">
        <v>121</v>
      </c>
      <c r="B48" s="117">
        <v>1100</v>
      </c>
    </row>
    <row r="49" spans="1:15" x14ac:dyDescent="0.25">
      <c r="A49" s="21" t="s">
        <v>122</v>
      </c>
      <c r="B49" s="117">
        <v>800</v>
      </c>
    </row>
    <row r="50" spans="1:15" ht="15.75" x14ac:dyDescent="0.25">
      <c r="B50" s="117"/>
      <c r="H50" s="38" t="s">
        <v>24</v>
      </c>
    </row>
    <row r="51" spans="1:15" ht="15.75" x14ac:dyDescent="0.25">
      <c r="A51" s="39" t="s">
        <v>20</v>
      </c>
      <c r="H51" t="s">
        <v>25</v>
      </c>
      <c r="I51" s="2"/>
      <c r="J51" s="2"/>
    </row>
    <row r="52" spans="1:15" x14ac:dyDescent="0.25">
      <c r="A52" s="4" t="s">
        <v>22</v>
      </c>
      <c r="H52" t="s">
        <v>27</v>
      </c>
      <c r="I52" s="2"/>
      <c r="J52" s="2"/>
    </row>
    <row r="53" spans="1:15" x14ac:dyDescent="0.25">
      <c r="A53" s="4" t="s">
        <v>23</v>
      </c>
      <c r="H53" t="s">
        <v>64</v>
      </c>
      <c r="I53" s="2"/>
      <c r="J53" s="2"/>
    </row>
    <row r="54" spans="1:15" x14ac:dyDescent="0.25">
      <c r="A54" s="4" t="s">
        <v>111</v>
      </c>
      <c r="H54" t="s">
        <v>28</v>
      </c>
      <c r="I54" s="2"/>
      <c r="J54" s="2"/>
    </row>
    <row r="55" spans="1:15" x14ac:dyDescent="0.25">
      <c r="A55" s="4" t="s">
        <v>21</v>
      </c>
      <c r="H55" t="s">
        <v>39</v>
      </c>
      <c r="I55" s="2"/>
      <c r="J55" s="2"/>
    </row>
    <row r="56" spans="1:15" x14ac:dyDescent="0.25">
      <c r="A56" s="4" t="s">
        <v>32</v>
      </c>
    </row>
    <row r="57" spans="1:15" x14ac:dyDescent="0.25">
      <c r="A57" s="4" t="s">
        <v>37</v>
      </c>
    </row>
    <row r="58" spans="1:15" x14ac:dyDescent="0.25">
      <c r="A58" s="4" t="s">
        <v>108</v>
      </c>
    </row>
    <row r="59" spans="1:15" x14ac:dyDescent="0.25">
      <c r="A59" s="4" t="s">
        <v>35</v>
      </c>
      <c r="B59" s="103"/>
      <c r="C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</row>
    <row r="60" spans="1:15" x14ac:dyDescent="0.25">
      <c r="A60" s="4" t="s">
        <v>62</v>
      </c>
      <c r="B60" s="104"/>
      <c r="C60" s="104"/>
      <c r="D60" s="103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</row>
    <row r="61" spans="1:15" x14ac:dyDescent="0.25">
      <c r="A61" s="4" t="s">
        <v>63</v>
      </c>
      <c r="B61" s="21"/>
      <c r="C61" s="21"/>
      <c r="D61" s="104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</row>
    <row r="62" spans="1:15" x14ac:dyDescent="0.25">
      <c r="A62" s="4" t="s">
        <v>65</v>
      </c>
      <c r="D62" s="21"/>
    </row>
    <row r="63" spans="1:15" x14ac:dyDescent="0.25">
      <c r="A63" s="4"/>
    </row>
    <row r="64" spans="1:15" x14ac:dyDescent="0.25">
      <c r="A64" s="6" t="s">
        <v>26</v>
      </c>
    </row>
    <row r="65" spans="1:1" x14ac:dyDescent="0.25">
      <c r="A65" s="64" t="s">
        <v>34</v>
      </c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4"/>
    </row>
  </sheetData>
  <mergeCells count="76">
    <mergeCell ref="AB9:AB17"/>
    <mergeCell ref="AB18:AB21"/>
    <mergeCell ref="AB29:AB30"/>
    <mergeCell ref="X32:X33"/>
    <mergeCell ref="Y32:Y33"/>
    <mergeCell ref="Z32:Z33"/>
    <mergeCell ref="AA32:AA33"/>
    <mergeCell ref="AB32:AB33"/>
    <mergeCell ref="Y18:Y21"/>
    <mergeCell ref="Z18:Z21"/>
    <mergeCell ref="AA9:AA17"/>
    <mergeCell ref="X29:X30"/>
    <mergeCell ref="Y29:Y30"/>
    <mergeCell ref="Z29:Z30"/>
    <mergeCell ref="AA18:AA21"/>
    <mergeCell ref="X18:X21"/>
    <mergeCell ref="V18:V21"/>
    <mergeCell ref="W18:W21"/>
    <mergeCell ref="Q29:Q30"/>
    <mergeCell ref="R29:R30"/>
    <mergeCell ref="S29:S30"/>
    <mergeCell ref="T29:T30"/>
    <mergeCell ref="U29:U30"/>
    <mergeCell ref="V29:V30"/>
    <mergeCell ref="Q22:Q28"/>
    <mergeCell ref="W29:W30"/>
    <mergeCell ref="R22:R28"/>
    <mergeCell ref="S22:S28"/>
    <mergeCell ref="T22:T28"/>
    <mergeCell ref="U22:U28"/>
    <mergeCell ref="Q18:Q21"/>
    <mergeCell ref="V9:V17"/>
    <mergeCell ref="W9:W17"/>
    <mergeCell ref="X9:X17"/>
    <mergeCell ref="Y9:Y17"/>
    <mergeCell ref="Z9:Z17"/>
    <mergeCell ref="R9:R17"/>
    <mergeCell ref="S9:S17"/>
    <mergeCell ref="T9:T17"/>
    <mergeCell ref="U9:U17"/>
    <mergeCell ref="R18:R21"/>
    <mergeCell ref="S18:S21"/>
    <mergeCell ref="T18:T21"/>
    <mergeCell ref="U18:U21"/>
    <mergeCell ref="U32:U33"/>
    <mergeCell ref="AA29:AA30"/>
    <mergeCell ref="V32:V33"/>
    <mergeCell ref="A1:O6"/>
    <mergeCell ref="C22:C33"/>
    <mergeCell ref="A7:B7"/>
    <mergeCell ref="D7:J7"/>
    <mergeCell ref="L7:O7"/>
    <mergeCell ref="K9:K25"/>
    <mergeCell ref="K26:K33"/>
    <mergeCell ref="P1:AB6"/>
    <mergeCell ref="P7:AB7"/>
    <mergeCell ref="P9:P17"/>
    <mergeCell ref="P18:P21"/>
    <mergeCell ref="P29:P30"/>
    <mergeCell ref="Q9:Q17"/>
    <mergeCell ref="L34:AB34"/>
    <mergeCell ref="AB22:AB28"/>
    <mergeCell ref="W32:W33"/>
    <mergeCell ref="A36:O36"/>
    <mergeCell ref="AA22:AA28"/>
    <mergeCell ref="X22:X28"/>
    <mergeCell ref="Y22:Y28"/>
    <mergeCell ref="P22:P28"/>
    <mergeCell ref="Z22:Z28"/>
    <mergeCell ref="V22:V28"/>
    <mergeCell ref="W22:W28"/>
    <mergeCell ref="P32:P33"/>
    <mergeCell ref="Q32:Q33"/>
    <mergeCell ref="R32:R33"/>
    <mergeCell ref="S32:S33"/>
    <mergeCell ref="T32:T33"/>
  </mergeCells>
  <pageMargins left="0.7" right="0.7" top="0.75" bottom="0.75" header="0.3" footer="0.3"/>
  <pageSetup scale="37" orientation="landscape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68"/>
  <sheetViews>
    <sheetView topLeftCell="A4" workbookViewId="0">
      <selection activeCell="I29" sqref="I29"/>
    </sheetView>
  </sheetViews>
  <sheetFormatPr defaultRowHeight="15" x14ac:dyDescent="0.25"/>
  <cols>
    <col min="1" max="1" width="8.42578125" customWidth="1"/>
    <col min="2" max="2" width="16.5703125" customWidth="1"/>
    <col min="3" max="3" width="18.85546875" customWidth="1"/>
    <col min="4" max="4" width="14.7109375" customWidth="1"/>
    <col min="5" max="5" width="9" bestFit="1" customWidth="1"/>
    <col min="6" max="6" width="8" bestFit="1" customWidth="1"/>
    <col min="7" max="7" width="10" bestFit="1" customWidth="1"/>
    <col min="8" max="8" width="11.28515625" bestFit="1" customWidth="1"/>
    <col min="9" max="9" width="10.42578125" customWidth="1"/>
    <col min="10" max="10" width="12.7109375" customWidth="1"/>
    <col min="11" max="11" width="17.140625" customWidth="1"/>
    <col min="12" max="12" width="9.7109375" customWidth="1"/>
    <col min="13" max="13" width="13.42578125" customWidth="1"/>
    <col min="14" max="17" width="11" bestFit="1" customWidth="1"/>
    <col min="18" max="18" width="11.140625" bestFit="1" customWidth="1"/>
    <col min="19" max="19" width="11.28515625" bestFit="1" customWidth="1"/>
    <col min="20" max="20" width="10.85546875" customWidth="1"/>
    <col min="21" max="25" width="11" bestFit="1" customWidth="1"/>
    <col min="26" max="27" width="10.85546875" customWidth="1"/>
    <col min="28" max="28" width="10.85546875" bestFit="1" customWidth="1"/>
  </cols>
  <sheetData>
    <row r="1" spans="1:28" ht="15" customHeight="1" x14ac:dyDescent="0.25">
      <c r="A1" s="145" t="s">
        <v>104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7"/>
      <c r="P1" s="154" t="s">
        <v>67</v>
      </c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6"/>
    </row>
    <row r="2" spans="1:28" ht="15" customHeight="1" x14ac:dyDescent="0.25">
      <c r="A2" s="148"/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50"/>
      <c r="P2" s="157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9"/>
    </row>
    <row r="3" spans="1:28" ht="15" customHeight="1" x14ac:dyDescent="0.25">
      <c r="A3" s="148"/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50"/>
      <c r="P3" s="157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</row>
    <row r="4" spans="1:28" ht="15" customHeight="1" x14ac:dyDescent="0.25">
      <c r="A4" s="148"/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50"/>
      <c r="P4" s="157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9"/>
    </row>
    <row r="5" spans="1:28" ht="15" customHeight="1" x14ac:dyDescent="0.25">
      <c r="A5" s="148"/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50"/>
      <c r="P5" s="157"/>
      <c r="Q5" s="158"/>
      <c r="R5" s="158"/>
      <c r="S5" s="158"/>
      <c r="T5" s="158"/>
      <c r="U5" s="158"/>
      <c r="V5" s="158"/>
      <c r="W5" s="158"/>
      <c r="X5" s="158"/>
      <c r="Y5" s="158"/>
      <c r="Z5" s="158"/>
      <c r="AA5" s="158"/>
      <c r="AB5" s="159"/>
    </row>
    <row r="6" spans="1:28" ht="15.75" customHeight="1" thickBot="1" x14ac:dyDescent="0.3">
      <c r="A6" s="151"/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3"/>
      <c r="P6" s="160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2"/>
    </row>
    <row r="7" spans="1:28" ht="15.75" thickBot="1" x14ac:dyDescent="0.3">
      <c r="A7" s="163" t="s">
        <v>17</v>
      </c>
      <c r="B7" s="164"/>
      <c r="C7" s="14" t="s">
        <v>30</v>
      </c>
      <c r="D7" s="163" t="s">
        <v>10</v>
      </c>
      <c r="E7" s="165"/>
      <c r="F7" s="165"/>
      <c r="G7" s="165"/>
      <c r="H7" s="165"/>
      <c r="I7" s="165"/>
      <c r="J7" s="164"/>
      <c r="K7" s="15" t="s">
        <v>29</v>
      </c>
      <c r="L7" s="163" t="s">
        <v>12</v>
      </c>
      <c r="M7" s="165"/>
      <c r="N7" s="165"/>
      <c r="O7" s="164"/>
      <c r="P7" s="166" t="s">
        <v>36</v>
      </c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8"/>
    </row>
    <row r="8" spans="1:28" s="1" customFormat="1" ht="45.75" thickBot="1" x14ac:dyDescent="0.3">
      <c r="A8" s="55" t="s">
        <v>71</v>
      </c>
      <c r="B8" s="56" t="s">
        <v>9</v>
      </c>
      <c r="C8" s="57" t="s">
        <v>11</v>
      </c>
      <c r="D8" s="55" t="s">
        <v>72</v>
      </c>
      <c r="E8" s="58" t="s">
        <v>0</v>
      </c>
      <c r="F8" s="59" t="s">
        <v>5</v>
      </c>
      <c r="G8" s="59" t="s">
        <v>6</v>
      </c>
      <c r="H8" s="59" t="s">
        <v>7</v>
      </c>
      <c r="I8" s="60" t="s">
        <v>8</v>
      </c>
      <c r="J8" s="61" t="s">
        <v>13</v>
      </c>
      <c r="K8" s="61" t="s">
        <v>68</v>
      </c>
      <c r="L8" s="55" t="s">
        <v>71</v>
      </c>
      <c r="M8" s="56" t="s">
        <v>14</v>
      </c>
      <c r="N8" s="62" t="s">
        <v>15</v>
      </c>
      <c r="O8" s="62" t="s">
        <v>107</v>
      </c>
      <c r="P8" s="110" t="s">
        <v>52</v>
      </c>
      <c r="Q8" s="110" t="s">
        <v>51</v>
      </c>
      <c r="R8" s="110" t="s">
        <v>54</v>
      </c>
      <c r="S8" s="110" t="s">
        <v>45</v>
      </c>
      <c r="T8" s="110" t="s">
        <v>47</v>
      </c>
      <c r="U8" s="110" t="s">
        <v>48</v>
      </c>
      <c r="V8" s="110" t="s">
        <v>44</v>
      </c>
      <c r="W8" s="110" t="s">
        <v>46</v>
      </c>
      <c r="X8" s="110" t="s">
        <v>49</v>
      </c>
      <c r="Y8" s="110" t="s">
        <v>50</v>
      </c>
      <c r="Z8" s="110" t="s">
        <v>53</v>
      </c>
      <c r="AA8" s="111" t="s">
        <v>55</v>
      </c>
      <c r="AB8" s="10" t="s">
        <v>56</v>
      </c>
    </row>
    <row r="9" spans="1:28" ht="15" customHeight="1" x14ac:dyDescent="0.25">
      <c r="A9" s="31">
        <v>3</v>
      </c>
      <c r="B9" s="28">
        <v>1000</v>
      </c>
      <c r="C9" s="26" t="s">
        <v>1</v>
      </c>
      <c r="D9" s="31">
        <v>3</v>
      </c>
      <c r="E9" s="51">
        <v>120</v>
      </c>
      <c r="F9" s="25">
        <v>8.57</v>
      </c>
      <c r="G9" s="8">
        <v>9.6</v>
      </c>
      <c r="H9" s="8">
        <v>19.5</v>
      </c>
      <c r="I9" s="22">
        <f>SUM(E9:H9)</f>
        <v>157.66999999999999</v>
      </c>
      <c r="J9" s="11">
        <f>I9*D9</f>
        <v>473.01</v>
      </c>
      <c r="K9" s="137" t="s">
        <v>109</v>
      </c>
      <c r="L9" s="31">
        <v>3</v>
      </c>
      <c r="M9" s="108">
        <f>180*5</f>
        <v>900</v>
      </c>
      <c r="N9" s="109">
        <f>180*7</f>
        <v>1260</v>
      </c>
      <c r="O9" s="108">
        <f>180*9</f>
        <v>1620</v>
      </c>
      <c r="P9" s="175">
        <v>8495</v>
      </c>
      <c r="Q9" s="178">
        <v>8760</v>
      </c>
      <c r="R9" s="178">
        <v>9190</v>
      </c>
      <c r="S9" s="178">
        <v>9230</v>
      </c>
      <c r="T9" s="178">
        <v>9335</v>
      </c>
      <c r="U9" s="178">
        <v>9390</v>
      </c>
      <c r="V9" s="178">
        <v>9390</v>
      </c>
      <c r="W9" s="178">
        <v>9390</v>
      </c>
      <c r="X9" s="178">
        <v>10020</v>
      </c>
      <c r="Y9" s="178">
        <v>9840</v>
      </c>
      <c r="Z9" s="178">
        <v>10440</v>
      </c>
      <c r="AA9" s="186">
        <v>10690</v>
      </c>
      <c r="AB9" s="181">
        <v>200</v>
      </c>
    </row>
    <row r="10" spans="1:28" ht="15" customHeight="1" x14ac:dyDescent="0.25">
      <c r="A10" s="32">
        <v>5</v>
      </c>
      <c r="B10" s="29">
        <v>1000</v>
      </c>
      <c r="C10" s="27" t="s">
        <v>1</v>
      </c>
      <c r="D10" s="32">
        <v>5</v>
      </c>
      <c r="E10" s="52">
        <v>120</v>
      </c>
      <c r="F10" s="7">
        <v>8.57</v>
      </c>
      <c r="G10" s="7">
        <v>9.6</v>
      </c>
      <c r="H10" s="7">
        <v>19.5</v>
      </c>
      <c r="I10" s="23">
        <f t="shared" ref="I10:I12" si="0">SUM(E10:H10)</f>
        <v>157.66999999999999</v>
      </c>
      <c r="J10" s="12">
        <f t="shared" ref="J10:J12" si="1">I10*D10</f>
        <v>788.34999999999991</v>
      </c>
      <c r="K10" s="138"/>
      <c r="L10" s="32">
        <v>5</v>
      </c>
      <c r="M10" s="105">
        <f t="shared" ref="M10:M12" si="2">180*5</f>
        <v>900</v>
      </c>
      <c r="N10" s="107">
        <f>180*7</f>
        <v>1260</v>
      </c>
      <c r="O10" s="105">
        <f>180*9</f>
        <v>1620</v>
      </c>
      <c r="P10" s="176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87"/>
      <c r="AB10" s="182"/>
    </row>
    <row r="11" spans="1:28" ht="15" customHeight="1" x14ac:dyDescent="0.25">
      <c r="A11" s="32">
        <v>7</v>
      </c>
      <c r="B11" s="29">
        <v>1000</v>
      </c>
      <c r="C11" s="27" t="s">
        <v>1</v>
      </c>
      <c r="D11" s="32">
        <v>7</v>
      </c>
      <c r="E11" s="52">
        <v>120</v>
      </c>
      <c r="F11" s="7">
        <v>8.57</v>
      </c>
      <c r="G11" s="7">
        <v>9.6</v>
      </c>
      <c r="H11" s="7">
        <v>19.5</v>
      </c>
      <c r="I11" s="23">
        <f t="shared" si="0"/>
        <v>157.66999999999999</v>
      </c>
      <c r="J11" s="12">
        <f t="shared" si="1"/>
        <v>1103.6899999999998</v>
      </c>
      <c r="K11" s="138"/>
      <c r="L11" s="32">
        <v>7</v>
      </c>
      <c r="M11" s="105">
        <f t="shared" si="2"/>
        <v>900</v>
      </c>
      <c r="N11" s="107">
        <f t="shared" ref="N11:N12" si="3">180*7</f>
        <v>1260</v>
      </c>
      <c r="O11" s="105">
        <f t="shared" ref="O11:O12" si="4">180*9</f>
        <v>1620</v>
      </c>
      <c r="P11" s="176"/>
      <c r="Q11" s="179"/>
      <c r="R11" s="179"/>
      <c r="S11" s="179"/>
      <c r="T11" s="179"/>
      <c r="U11" s="179"/>
      <c r="V11" s="179"/>
      <c r="W11" s="179"/>
      <c r="X11" s="179"/>
      <c r="Y11" s="179"/>
      <c r="Z11" s="179"/>
      <c r="AA11" s="187"/>
      <c r="AB11" s="182"/>
    </row>
    <row r="12" spans="1:28" ht="15" customHeight="1" x14ac:dyDescent="0.25">
      <c r="A12" s="32">
        <v>10</v>
      </c>
      <c r="B12" s="29">
        <v>1000</v>
      </c>
      <c r="C12" s="27" t="s">
        <v>1</v>
      </c>
      <c r="D12" s="32">
        <v>10</v>
      </c>
      <c r="E12" s="52">
        <v>120</v>
      </c>
      <c r="F12" s="7">
        <v>8.57</v>
      </c>
      <c r="G12" s="7">
        <v>9.6</v>
      </c>
      <c r="H12" s="7">
        <v>19.5</v>
      </c>
      <c r="I12" s="23">
        <f t="shared" si="0"/>
        <v>157.66999999999999</v>
      </c>
      <c r="J12" s="12">
        <f t="shared" si="1"/>
        <v>1576.6999999999998</v>
      </c>
      <c r="K12" s="138"/>
      <c r="L12" s="32">
        <v>10</v>
      </c>
      <c r="M12" s="105">
        <f t="shared" si="2"/>
        <v>900</v>
      </c>
      <c r="N12" s="107">
        <f t="shared" si="3"/>
        <v>1260</v>
      </c>
      <c r="O12" s="105">
        <f t="shared" si="4"/>
        <v>1620</v>
      </c>
      <c r="P12" s="176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87"/>
      <c r="AB12" s="182"/>
    </row>
    <row r="13" spans="1:28" ht="15" customHeight="1" x14ac:dyDescent="0.25">
      <c r="A13" s="32">
        <v>15</v>
      </c>
      <c r="B13" s="29">
        <v>1000</v>
      </c>
      <c r="C13" s="27" t="s">
        <v>1</v>
      </c>
      <c r="D13" s="32">
        <v>15</v>
      </c>
      <c r="E13" s="52">
        <v>120</v>
      </c>
      <c r="F13" s="7">
        <v>8.57</v>
      </c>
      <c r="G13" s="7">
        <v>9.6</v>
      </c>
      <c r="H13" s="7">
        <v>19.5</v>
      </c>
      <c r="I13" s="23">
        <f t="shared" ref="I13:I33" si="5">SUM(E13:H13)</f>
        <v>157.66999999999999</v>
      </c>
      <c r="J13" s="12">
        <f t="shared" ref="J13:J33" si="6">I13*D13</f>
        <v>2365.0499999999997</v>
      </c>
      <c r="K13" s="138"/>
      <c r="L13" s="41">
        <v>15</v>
      </c>
      <c r="M13" s="105">
        <f t="shared" ref="M13:M17" si="7">180*5</f>
        <v>900</v>
      </c>
      <c r="N13" s="107">
        <f>180*7</f>
        <v>1260</v>
      </c>
      <c r="O13" s="105">
        <f>180*9</f>
        <v>1620</v>
      </c>
      <c r="P13" s="177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8"/>
      <c r="AB13" s="135"/>
    </row>
    <row r="14" spans="1:28" ht="15" customHeight="1" x14ac:dyDescent="0.25">
      <c r="A14" s="32">
        <v>17</v>
      </c>
      <c r="B14" s="29">
        <v>1000</v>
      </c>
      <c r="C14" s="27" t="s">
        <v>1</v>
      </c>
      <c r="D14" s="32">
        <v>17</v>
      </c>
      <c r="E14" s="52">
        <v>120</v>
      </c>
      <c r="F14" s="7">
        <v>8.57</v>
      </c>
      <c r="G14" s="7">
        <v>9.6</v>
      </c>
      <c r="H14" s="7">
        <v>19.5</v>
      </c>
      <c r="I14" s="23">
        <f t="shared" si="5"/>
        <v>157.66999999999999</v>
      </c>
      <c r="J14" s="12">
        <f t="shared" si="6"/>
        <v>2680.39</v>
      </c>
      <c r="K14" s="138"/>
      <c r="L14" s="41">
        <v>17</v>
      </c>
      <c r="M14" s="105">
        <f t="shared" si="7"/>
        <v>900</v>
      </c>
      <c r="N14" s="107">
        <f t="shared" ref="N14:N17" si="8">180*7</f>
        <v>1260</v>
      </c>
      <c r="O14" s="105">
        <f t="shared" ref="O14:O17" si="9">180*9</f>
        <v>1620</v>
      </c>
      <c r="P14" s="177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8"/>
      <c r="AB14" s="135"/>
    </row>
    <row r="15" spans="1:28" ht="15" customHeight="1" x14ac:dyDescent="0.25">
      <c r="A15" s="32">
        <v>18</v>
      </c>
      <c r="B15" s="29">
        <v>1000</v>
      </c>
      <c r="C15" s="27" t="s">
        <v>1</v>
      </c>
      <c r="D15" s="32">
        <v>18</v>
      </c>
      <c r="E15" s="52">
        <v>120</v>
      </c>
      <c r="F15" s="7">
        <v>8.57</v>
      </c>
      <c r="G15" s="7">
        <v>9.6</v>
      </c>
      <c r="H15" s="7">
        <v>19.5</v>
      </c>
      <c r="I15" s="23">
        <f t="shared" si="5"/>
        <v>157.66999999999999</v>
      </c>
      <c r="J15" s="12">
        <f t="shared" si="6"/>
        <v>2838.06</v>
      </c>
      <c r="K15" s="138"/>
      <c r="L15" s="41">
        <v>18</v>
      </c>
      <c r="M15" s="105">
        <f t="shared" si="7"/>
        <v>900</v>
      </c>
      <c r="N15" s="107">
        <f t="shared" si="8"/>
        <v>1260</v>
      </c>
      <c r="O15" s="105">
        <f t="shared" si="9"/>
        <v>1620</v>
      </c>
      <c r="P15" s="177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8"/>
      <c r="AB15" s="135"/>
    </row>
    <row r="16" spans="1:28" ht="15" customHeight="1" x14ac:dyDescent="0.25">
      <c r="A16" s="33">
        <v>20</v>
      </c>
      <c r="B16" s="29">
        <v>1000</v>
      </c>
      <c r="C16" s="27" t="s">
        <v>1</v>
      </c>
      <c r="D16" s="33">
        <v>20</v>
      </c>
      <c r="E16" s="52">
        <v>103</v>
      </c>
      <c r="F16" s="7">
        <v>8.57</v>
      </c>
      <c r="G16" s="7">
        <v>9.6</v>
      </c>
      <c r="H16" s="7">
        <v>19.5</v>
      </c>
      <c r="I16" s="23">
        <f>SUM(E16:H16)</f>
        <v>140.66999999999999</v>
      </c>
      <c r="J16" s="12">
        <f t="shared" si="6"/>
        <v>2813.3999999999996</v>
      </c>
      <c r="K16" s="138"/>
      <c r="L16" s="42">
        <v>20</v>
      </c>
      <c r="M16" s="105">
        <f t="shared" si="7"/>
        <v>900</v>
      </c>
      <c r="N16" s="107">
        <f t="shared" si="8"/>
        <v>1260</v>
      </c>
      <c r="O16" s="105">
        <f t="shared" si="9"/>
        <v>1620</v>
      </c>
      <c r="P16" s="177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8"/>
      <c r="AB16" s="135"/>
    </row>
    <row r="17" spans="1:28" ht="15.75" customHeight="1" x14ac:dyDescent="0.25">
      <c r="A17" s="33">
        <v>22</v>
      </c>
      <c r="B17" s="29">
        <v>1000</v>
      </c>
      <c r="C17" s="27" t="s">
        <v>1</v>
      </c>
      <c r="D17" s="33">
        <v>22</v>
      </c>
      <c r="E17" s="52">
        <v>103</v>
      </c>
      <c r="F17" s="7">
        <v>8.57</v>
      </c>
      <c r="G17" s="7">
        <v>9.6</v>
      </c>
      <c r="H17" s="7">
        <v>19.5</v>
      </c>
      <c r="I17" s="23">
        <f t="shared" si="5"/>
        <v>140.66999999999999</v>
      </c>
      <c r="J17" s="12">
        <f t="shared" si="6"/>
        <v>3094.74</v>
      </c>
      <c r="K17" s="138"/>
      <c r="L17" s="42">
        <v>22</v>
      </c>
      <c r="M17" s="105">
        <f t="shared" si="7"/>
        <v>900</v>
      </c>
      <c r="N17" s="107">
        <f t="shared" si="8"/>
        <v>1260</v>
      </c>
      <c r="O17" s="105">
        <f t="shared" si="9"/>
        <v>1620</v>
      </c>
      <c r="P17" s="177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8"/>
      <c r="AB17" s="135"/>
    </row>
    <row r="18" spans="1:28" x14ac:dyDescent="0.25">
      <c r="A18" s="34">
        <v>24</v>
      </c>
      <c r="B18" s="29">
        <v>1000</v>
      </c>
      <c r="C18" s="27" t="s">
        <v>1</v>
      </c>
      <c r="D18" s="34">
        <v>24</v>
      </c>
      <c r="E18" s="52">
        <v>103</v>
      </c>
      <c r="F18" s="7">
        <v>8.57</v>
      </c>
      <c r="G18" s="7">
        <v>9.6</v>
      </c>
      <c r="H18" s="7">
        <v>19.5</v>
      </c>
      <c r="I18" s="23">
        <f t="shared" si="5"/>
        <v>140.66999999999999</v>
      </c>
      <c r="J18" s="12">
        <f t="shared" si="6"/>
        <v>3376.08</v>
      </c>
      <c r="K18" s="138"/>
      <c r="L18" s="43">
        <v>24</v>
      </c>
      <c r="M18" s="105">
        <f>275*5</f>
        <v>1375</v>
      </c>
      <c r="N18" s="107">
        <f>275*7</f>
        <v>1925</v>
      </c>
      <c r="O18" s="105">
        <f>275*9</f>
        <v>2475</v>
      </c>
      <c r="P18" s="173">
        <v>9095</v>
      </c>
      <c r="Q18" s="170">
        <v>9295</v>
      </c>
      <c r="R18" s="170">
        <v>10095</v>
      </c>
      <c r="S18" s="170">
        <v>10295</v>
      </c>
      <c r="T18" s="170">
        <v>10495</v>
      </c>
      <c r="U18" s="170">
        <v>9995</v>
      </c>
      <c r="V18" s="170">
        <v>10195</v>
      </c>
      <c r="W18" s="170">
        <v>9995</v>
      </c>
      <c r="X18" s="170">
        <v>10845</v>
      </c>
      <c r="Y18" s="170">
        <v>10845</v>
      </c>
      <c r="Z18" s="170">
        <v>11375</v>
      </c>
      <c r="AA18" s="172">
        <v>11270</v>
      </c>
      <c r="AB18" s="169">
        <v>285</v>
      </c>
    </row>
    <row r="19" spans="1:28" ht="15" customHeight="1" x14ac:dyDescent="0.25">
      <c r="A19" s="34">
        <v>26</v>
      </c>
      <c r="B19" s="29">
        <v>1000</v>
      </c>
      <c r="C19" s="27" t="s">
        <v>1</v>
      </c>
      <c r="D19" s="34">
        <v>26</v>
      </c>
      <c r="E19" s="52">
        <v>103</v>
      </c>
      <c r="F19" s="7">
        <v>8.57</v>
      </c>
      <c r="G19" s="7">
        <v>9.6</v>
      </c>
      <c r="H19" s="7">
        <v>19.5</v>
      </c>
      <c r="I19" s="23">
        <f t="shared" si="5"/>
        <v>140.66999999999999</v>
      </c>
      <c r="J19" s="12">
        <f t="shared" si="6"/>
        <v>3657.4199999999996</v>
      </c>
      <c r="K19" s="138"/>
      <c r="L19" s="43">
        <v>26</v>
      </c>
      <c r="M19" s="105">
        <f t="shared" ref="M19:M21" si="10">275*5</f>
        <v>1375</v>
      </c>
      <c r="N19" s="107">
        <f t="shared" ref="N19:N21" si="11">275*7</f>
        <v>1925</v>
      </c>
      <c r="O19" s="105">
        <f t="shared" ref="O19:O21" si="12">275*9</f>
        <v>2475</v>
      </c>
      <c r="P19" s="173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2"/>
      <c r="AB19" s="169"/>
    </row>
    <row r="20" spans="1:28" x14ac:dyDescent="0.25">
      <c r="A20" s="32">
        <v>28</v>
      </c>
      <c r="B20" s="29">
        <v>1450</v>
      </c>
      <c r="C20" s="27" t="s">
        <v>1</v>
      </c>
      <c r="D20" s="32">
        <v>28</v>
      </c>
      <c r="E20" s="52">
        <v>103</v>
      </c>
      <c r="F20" s="7">
        <v>8.57</v>
      </c>
      <c r="G20" s="7">
        <v>9.6</v>
      </c>
      <c r="H20" s="7">
        <v>19.5</v>
      </c>
      <c r="I20" s="23">
        <f t="shared" si="5"/>
        <v>140.66999999999999</v>
      </c>
      <c r="J20" s="12">
        <f t="shared" si="6"/>
        <v>3938.7599999999998</v>
      </c>
      <c r="K20" s="138"/>
      <c r="L20" s="41">
        <v>28</v>
      </c>
      <c r="M20" s="105">
        <f t="shared" si="10"/>
        <v>1375</v>
      </c>
      <c r="N20" s="107">
        <f t="shared" si="11"/>
        <v>1925</v>
      </c>
      <c r="O20" s="105">
        <f t="shared" si="12"/>
        <v>2475</v>
      </c>
      <c r="P20" s="173"/>
      <c r="Q20" s="170"/>
      <c r="R20" s="170"/>
      <c r="S20" s="170"/>
      <c r="T20" s="170"/>
      <c r="U20" s="170"/>
      <c r="V20" s="170"/>
      <c r="W20" s="170"/>
      <c r="X20" s="170"/>
      <c r="Y20" s="170"/>
      <c r="Z20" s="170"/>
      <c r="AA20" s="172"/>
      <c r="AB20" s="169"/>
    </row>
    <row r="21" spans="1:28" x14ac:dyDescent="0.25">
      <c r="A21" s="32">
        <v>30</v>
      </c>
      <c r="B21" s="29">
        <v>1450</v>
      </c>
      <c r="C21" s="27" t="s">
        <v>1</v>
      </c>
      <c r="D21" s="32">
        <v>30</v>
      </c>
      <c r="E21" s="52">
        <v>103</v>
      </c>
      <c r="F21" s="7">
        <v>8.57</v>
      </c>
      <c r="G21" s="7">
        <v>9.6</v>
      </c>
      <c r="H21" s="7">
        <v>19.5</v>
      </c>
      <c r="I21" s="23">
        <f t="shared" si="5"/>
        <v>140.66999999999999</v>
      </c>
      <c r="J21" s="12">
        <f t="shared" si="6"/>
        <v>4220.0999999999995</v>
      </c>
      <c r="K21" s="138"/>
      <c r="L21" s="41">
        <v>30</v>
      </c>
      <c r="M21" s="105">
        <f t="shared" si="10"/>
        <v>1375</v>
      </c>
      <c r="N21" s="107">
        <f t="shared" si="11"/>
        <v>1925</v>
      </c>
      <c r="O21" s="105">
        <f t="shared" si="12"/>
        <v>2475</v>
      </c>
      <c r="P21" s="173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2"/>
      <c r="AB21" s="169"/>
    </row>
    <row r="22" spans="1:28" x14ac:dyDescent="0.25">
      <c r="A22" s="32">
        <v>32</v>
      </c>
      <c r="B22" s="29">
        <v>1450</v>
      </c>
      <c r="C22" s="135" t="s">
        <v>38</v>
      </c>
      <c r="D22" s="32">
        <v>32</v>
      </c>
      <c r="E22" s="52">
        <v>103</v>
      </c>
      <c r="F22" s="7">
        <v>8.57</v>
      </c>
      <c r="G22" s="7">
        <v>9.6</v>
      </c>
      <c r="H22" s="7">
        <v>19.5</v>
      </c>
      <c r="I22" s="23">
        <f t="shared" si="5"/>
        <v>140.66999999999999</v>
      </c>
      <c r="J22" s="12">
        <f t="shared" si="6"/>
        <v>4501.4399999999996</v>
      </c>
      <c r="K22" s="138"/>
      <c r="L22" s="41">
        <v>32</v>
      </c>
      <c r="M22" s="105">
        <f>305*5</f>
        <v>1525</v>
      </c>
      <c r="N22" s="107">
        <f>305*7</f>
        <v>2135</v>
      </c>
      <c r="O22" s="105">
        <f>305*9</f>
        <v>2745</v>
      </c>
      <c r="P22" s="173">
        <v>10455</v>
      </c>
      <c r="Q22" s="170">
        <v>12055</v>
      </c>
      <c r="R22" s="170">
        <v>12355</v>
      </c>
      <c r="S22" s="170">
        <v>12355</v>
      </c>
      <c r="T22" s="170">
        <v>12355</v>
      </c>
      <c r="U22" s="170">
        <v>12755</v>
      </c>
      <c r="V22" s="170">
        <v>12655</v>
      </c>
      <c r="W22" s="170">
        <v>12755</v>
      </c>
      <c r="X22" s="170">
        <v>12505</v>
      </c>
      <c r="Y22" s="170">
        <v>13155</v>
      </c>
      <c r="Z22" s="170">
        <v>12705</v>
      </c>
      <c r="AA22" s="172">
        <v>12855</v>
      </c>
      <c r="AB22" s="169">
        <v>305</v>
      </c>
    </row>
    <row r="23" spans="1:28" x14ac:dyDescent="0.25">
      <c r="A23" s="32">
        <v>34</v>
      </c>
      <c r="B23" s="29">
        <v>1450</v>
      </c>
      <c r="C23" s="135"/>
      <c r="D23" s="32">
        <v>34</v>
      </c>
      <c r="E23" s="52">
        <v>103</v>
      </c>
      <c r="F23" s="7">
        <v>8.57</v>
      </c>
      <c r="G23" s="7">
        <v>9.6</v>
      </c>
      <c r="H23" s="7">
        <v>19.5</v>
      </c>
      <c r="I23" s="23">
        <f t="shared" si="5"/>
        <v>140.66999999999999</v>
      </c>
      <c r="J23" s="12">
        <f t="shared" si="6"/>
        <v>4782.78</v>
      </c>
      <c r="K23" s="138"/>
      <c r="L23" s="41">
        <v>34</v>
      </c>
      <c r="M23" s="105">
        <f t="shared" ref="M23:M27" si="13">305*5</f>
        <v>1525</v>
      </c>
      <c r="N23" s="107">
        <f t="shared" ref="N23:N27" si="14">305*7</f>
        <v>2135</v>
      </c>
      <c r="O23" s="105">
        <f t="shared" ref="O23:O27" si="15">305*9</f>
        <v>2745</v>
      </c>
      <c r="P23" s="173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2"/>
      <c r="AB23" s="169"/>
    </row>
    <row r="24" spans="1:28" x14ac:dyDescent="0.25">
      <c r="A24" s="33">
        <v>36</v>
      </c>
      <c r="B24" s="29">
        <v>1450</v>
      </c>
      <c r="C24" s="135"/>
      <c r="D24" s="33">
        <v>36</v>
      </c>
      <c r="E24" s="52">
        <v>103</v>
      </c>
      <c r="F24" s="7">
        <v>8.57</v>
      </c>
      <c r="G24" s="7">
        <v>9.6</v>
      </c>
      <c r="H24" s="7">
        <v>19.5</v>
      </c>
      <c r="I24" s="23">
        <f t="shared" si="5"/>
        <v>140.66999999999999</v>
      </c>
      <c r="J24" s="12">
        <f t="shared" si="6"/>
        <v>5064.12</v>
      </c>
      <c r="K24" s="138"/>
      <c r="L24" s="42">
        <v>36</v>
      </c>
      <c r="M24" s="105">
        <f t="shared" si="13"/>
        <v>1525</v>
      </c>
      <c r="N24" s="107">
        <f t="shared" si="14"/>
        <v>2135</v>
      </c>
      <c r="O24" s="105">
        <f t="shared" si="15"/>
        <v>2745</v>
      </c>
      <c r="P24" s="173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2"/>
      <c r="AB24" s="169"/>
    </row>
    <row r="25" spans="1:28" ht="15.75" thickBot="1" x14ac:dyDescent="0.3">
      <c r="A25" s="33">
        <v>38</v>
      </c>
      <c r="B25" s="29">
        <v>1450</v>
      </c>
      <c r="C25" s="135"/>
      <c r="D25" s="33">
        <v>38</v>
      </c>
      <c r="E25" s="52">
        <v>103</v>
      </c>
      <c r="F25" s="7">
        <v>8.57</v>
      </c>
      <c r="G25" s="7">
        <v>9.6</v>
      </c>
      <c r="H25" s="7">
        <v>19.5</v>
      </c>
      <c r="I25" s="23">
        <f t="shared" si="5"/>
        <v>140.66999999999999</v>
      </c>
      <c r="J25" s="12">
        <f t="shared" si="6"/>
        <v>5345.4599999999991</v>
      </c>
      <c r="K25" s="139"/>
      <c r="L25" s="42">
        <v>38</v>
      </c>
      <c r="M25" s="105">
        <f t="shared" si="13"/>
        <v>1525</v>
      </c>
      <c r="N25" s="107">
        <f t="shared" si="14"/>
        <v>2135</v>
      </c>
      <c r="O25" s="105">
        <f t="shared" si="15"/>
        <v>2745</v>
      </c>
      <c r="P25" s="173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2"/>
      <c r="AB25" s="169"/>
    </row>
    <row r="26" spans="1:28" x14ac:dyDescent="0.25">
      <c r="A26" s="34">
        <v>41</v>
      </c>
      <c r="B26" s="29">
        <v>1450</v>
      </c>
      <c r="C26" s="135"/>
      <c r="D26" s="34">
        <v>41</v>
      </c>
      <c r="E26" s="52">
        <v>103</v>
      </c>
      <c r="F26" s="7">
        <v>8.57</v>
      </c>
      <c r="G26" s="7">
        <v>9.6</v>
      </c>
      <c r="H26" s="7">
        <v>19.5</v>
      </c>
      <c r="I26" s="23">
        <f t="shared" si="5"/>
        <v>140.66999999999999</v>
      </c>
      <c r="J26" s="12">
        <f t="shared" si="6"/>
        <v>5767.4699999999993</v>
      </c>
      <c r="K26" s="137" t="s">
        <v>110</v>
      </c>
      <c r="L26" s="43">
        <v>41</v>
      </c>
      <c r="M26" s="105">
        <f t="shared" si="13"/>
        <v>1525</v>
      </c>
      <c r="N26" s="107">
        <f t="shared" si="14"/>
        <v>2135</v>
      </c>
      <c r="O26" s="105">
        <f t="shared" si="15"/>
        <v>2745</v>
      </c>
      <c r="P26" s="173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2"/>
      <c r="AB26" s="169"/>
    </row>
    <row r="27" spans="1:28" x14ac:dyDescent="0.25">
      <c r="A27" s="34">
        <v>44</v>
      </c>
      <c r="B27" s="29">
        <v>1450</v>
      </c>
      <c r="C27" s="135"/>
      <c r="D27" s="34">
        <v>44</v>
      </c>
      <c r="E27" s="52">
        <v>103</v>
      </c>
      <c r="F27" s="7">
        <v>8.57</v>
      </c>
      <c r="G27" s="7">
        <v>9.6</v>
      </c>
      <c r="H27" s="7">
        <v>19.5</v>
      </c>
      <c r="I27" s="23">
        <f t="shared" ref="I27:I28" si="16">SUM(E27:H27)</f>
        <v>140.66999999999999</v>
      </c>
      <c r="J27" s="12">
        <f t="shared" ref="J27" si="17">I27*D27</f>
        <v>6189.48</v>
      </c>
      <c r="K27" s="138"/>
      <c r="L27" s="43">
        <v>44</v>
      </c>
      <c r="M27" s="105">
        <f t="shared" si="13"/>
        <v>1525</v>
      </c>
      <c r="N27" s="107">
        <f t="shared" si="14"/>
        <v>2135</v>
      </c>
      <c r="O27" s="105">
        <f t="shared" si="15"/>
        <v>2745</v>
      </c>
      <c r="P27" s="173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2"/>
      <c r="AB27" s="169"/>
    </row>
    <row r="28" spans="1:28" x14ac:dyDescent="0.25">
      <c r="A28" s="34">
        <v>46</v>
      </c>
      <c r="B28" s="29">
        <v>1750</v>
      </c>
      <c r="C28" s="135"/>
      <c r="D28" s="34">
        <v>46</v>
      </c>
      <c r="E28" s="52">
        <v>103</v>
      </c>
      <c r="F28" s="7">
        <v>8.57</v>
      </c>
      <c r="G28" s="7">
        <v>9.6</v>
      </c>
      <c r="H28" s="7">
        <v>19.5</v>
      </c>
      <c r="I28" s="23">
        <f t="shared" si="16"/>
        <v>140.66999999999999</v>
      </c>
      <c r="J28" s="12">
        <f t="shared" si="6"/>
        <v>6470.82</v>
      </c>
      <c r="K28" s="138"/>
      <c r="L28" s="43">
        <v>46</v>
      </c>
      <c r="M28" s="105">
        <f>320*5</f>
        <v>1600</v>
      </c>
      <c r="N28" s="107">
        <f>320*7</f>
        <v>2240</v>
      </c>
      <c r="O28" s="105">
        <f>320*9</f>
        <v>2880</v>
      </c>
      <c r="P28" s="173"/>
      <c r="Q28" s="170"/>
      <c r="R28" s="170"/>
      <c r="S28" s="170"/>
      <c r="T28" s="170"/>
      <c r="U28" s="170"/>
      <c r="V28" s="170"/>
      <c r="W28" s="170"/>
      <c r="X28" s="170"/>
      <c r="Y28" s="170"/>
      <c r="Z28" s="170"/>
      <c r="AA28" s="172"/>
      <c r="AB28" s="169"/>
    </row>
    <row r="29" spans="1:28" x14ac:dyDescent="0.25">
      <c r="A29" s="34">
        <v>48</v>
      </c>
      <c r="B29" s="29">
        <v>1750</v>
      </c>
      <c r="C29" s="135"/>
      <c r="D29" s="34">
        <v>48</v>
      </c>
      <c r="E29" s="52">
        <v>103</v>
      </c>
      <c r="F29" s="7">
        <v>8.57</v>
      </c>
      <c r="G29" s="7">
        <v>9.6</v>
      </c>
      <c r="H29" s="7">
        <v>19.5</v>
      </c>
      <c r="I29" s="23">
        <f t="shared" si="5"/>
        <v>140.66999999999999</v>
      </c>
      <c r="J29" s="12">
        <f t="shared" si="6"/>
        <v>6752.16</v>
      </c>
      <c r="K29" s="138"/>
      <c r="L29" s="43">
        <v>48</v>
      </c>
      <c r="M29" s="105">
        <f t="shared" ref="M29:M30" si="18">320*5</f>
        <v>1600</v>
      </c>
      <c r="N29" s="107">
        <f>320*7</f>
        <v>2240</v>
      </c>
      <c r="O29" s="105">
        <f t="shared" ref="O29:O30" si="19">320*9</f>
        <v>2880</v>
      </c>
      <c r="P29" s="173">
        <v>12500</v>
      </c>
      <c r="Q29" s="170">
        <v>12500</v>
      </c>
      <c r="R29" s="170">
        <v>13200</v>
      </c>
      <c r="S29" s="170">
        <v>13200</v>
      </c>
      <c r="T29" s="170">
        <v>13200</v>
      </c>
      <c r="U29" s="170">
        <v>13200</v>
      </c>
      <c r="V29" s="170">
        <v>13200</v>
      </c>
      <c r="W29" s="170">
        <v>13500</v>
      </c>
      <c r="X29" s="170">
        <v>14000</v>
      </c>
      <c r="Y29" s="170">
        <v>13800</v>
      </c>
      <c r="Z29" s="170">
        <v>13600</v>
      </c>
      <c r="AA29" s="172">
        <v>13985</v>
      </c>
      <c r="AB29" s="169">
        <v>315</v>
      </c>
    </row>
    <row r="30" spans="1:28" x14ac:dyDescent="0.25">
      <c r="A30" s="34">
        <v>50</v>
      </c>
      <c r="B30" s="29">
        <v>1750</v>
      </c>
      <c r="C30" s="135"/>
      <c r="D30" s="34">
        <v>50</v>
      </c>
      <c r="E30" s="52">
        <v>103</v>
      </c>
      <c r="F30" s="7">
        <v>8.57</v>
      </c>
      <c r="G30" s="7">
        <v>9.6</v>
      </c>
      <c r="H30" s="7">
        <v>19.5</v>
      </c>
      <c r="I30" s="23">
        <f t="shared" ref="I30" si="20">SUM(E30:H30)</f>
        <v>140.66999999999999</v>
      </c>
      <c r="J30" s="12">
        <f t="shared" ref="J30" si="21">I30*D30</f>
        <v>7033.4999999999991</v>
      </c>
      <c r="K30" s="138"/>
      <c r="L30" s="43">
        <v>50</v>
      </c>
      <c r="M30" s="105">
        <f t="shared" si="18"/>
        <v>1600</v>
      </c>
      <c r="N30" s="107">
        <f>320*7</f>
        <v>2240</v>
      </c>
      <c r="O30" s="105">
        <f t="shared" si="19"/>
        <v>2880</v>
      </c>
      <c r="P30" s="173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2"/>
      <c r="AB30" s="169"/>
    </row>
    <row r="31" spans="1:28" x14ac:dyDescent="0.25">
      <c r="A31" s="34">
        <v>52</v>
      </c>
      <c r="B31" s="29">
        <v>1750</v>
      </c>
      <c r="C31" s="135"/>
      <c r="D31" s="34">
        <v>52</v>
      </c>
      <c r="E31" s="52">
        <v>103</v>
      </c>
      <c r="F31" s="7">
        <v>8.57</v>
      </c>
      <c r="G31" s="7">
        <v>9.6</v>
      </c>
      <c r="H31" s="7">
        <v>19.5</v>
      </c>
      <c r="I31" s="23">
        <f t="shared" si="5"/>
        <v>140.66999999999999</v>
      </c>
      <c r="J31" s="12">
        <f t="shared" si="6"/>
        <v>7314.8399999999992</v>
      </c>
      <c r="K31" s="138"/>
      <c r="L31" s="43">
        <v>52</v>
      </c>
      <c r="M31" s="105">
        <f>380*5</f>
        <v>1900</v>
      </c>
      <c r="N31" s="107">
        <f>380*7</f>
        <v>2660</v>
      </c>
      <c r="O31" s="105">
        <f>380*9</f>
        <v>3420</v>
      </c>
      <c r="P31" s="113">
        <v>14150</v>
      </c>
      <c r="Q31" s="112">
        <v>14350</v>
      </c>
      <c r="R31" s="112">
        <v>14750</v>
      </c>
      <c r="S31" s="112">
        <v>14750</v>
      </c>
      <c r="T31" s="112">
        <v>14750</v>
      </c>
      <c r="U31" s="112">
        <v>15350</v>
      </c>
      <c r="V31" s="112">
        <v>14750</v>
      </c>
      <c r="W31" s="112">
        <v>15350</v>
      </c>
      <c r="X31" s="112">
        <v>15350</v>
      </c>
      <c r="Y31" s="112">
        <v>15350</v>
      </c>
      <c r="Z31" s="112">
        <v>15350</v>
      </c>
      <c r="AA31" s="114">
        <v>15750</v>
      </c>
      <c r="AB31" s="115">
        <v>375</v>
      </c>
    </row>
    <row r="32" spans="1:28" x14ac:dyDescent="0.25">
      <c r="A32" s="34">
        <v>57</v>
      </c>
      <c r="B32" s="29">
        <v>1750</v>
      </c>
      <c r="C32" s="135"/>
      <c r="D32" s="34">
        <v>57</v>
      </c>
      <c r="E32" s="52">
        <v>103</v>
      </c>
      <c r="F32" s="7">
        <v>8.57</v>
      </c>
      <c r="G32" s="7">
        <v>9.6</v>
      </c>
      <c r="H32" s="7">
        <v>19.5</v>
      </c>
      <c r="I32" s="23">
        <f t="shared" si="5"/>
        <v>140.66999999999999</v>
      </c>
      <c r="J32" s="12">
        <f t="shared" si="6"/>
        <v>8018.19</v>
      </c>
      <c r="K32" s="138"/>
      <c r="L32" s="43">
        <v>57</v>
      </c>
      <c r="M32" s="105">
        <f t="shared" ref="M32:M33" si="22">380*5</f>
        <v>1900</v>
      </c>
      <c r="N32" s="107">
        <f t="shared" ref="N32:N33" si="23">380*7</f>
        <v>2660</v>
      </c>
      <c r="O32" s="105">
        <f t="shared" ref="O32:O33" si="24">380*9</f>
        <v>3420</v>
      </c>
      <c r="P32" s="173" t="s">
        <v>43</v>
      </c>
      <c r="Q32" s="170" t="s">
        <v>43</v>
      </c>
      <c r="R32" s="170" t="s">
        <v>43</v>
      </c>
      <c r="S32" s="170" t="s">
        <v>43</v>
      </c>
      <c r="T32" s="170" t="s">
        <v>43</v>
      </c>
      <c r="U32" s="170" t="s">
        <v>43</v>
      </c>
      <c r="V32" s="170" t="s">
        <v>43</v>
      </c>
      <c r="W32" s="170" t="s">
        <v>43</v>
      </c>
      <c r="X32" s="170" t="s">
        <v>43</v>
      </c>
      <c r="Y32" s="170" t="s">
        <v>43</v>
      </c>
      <c r="Z32" s="170" t="s">
        <v>43</v>
      </c>
      <c r="AA32" s="172" t="s">
        <v>43</v>
      </c>
      <c r="AB32" s="184" t="s">
        <v>43</v>
      </c>
    </row>
    <row r="33" spans="1:28" ht="15.75" thickBot="1" x14ac:dyDescent="0.3">
      <c r="A33" s="35">
        <v>59</v>
      </c>
      <c r="B33" s="30">
        <v>1750</v>
      </c>
      <c r="C33" s="136"/>
      <c r="D33" s="35">
        <v>59</v>
      </c>
      <c r="E33" s="53">
        <v>103</v>
      </c>
      <c r="F33" s="9">
        <v>8.57</v>
      </c>
      <c r="G33" s="9">
        <v>9.6</v>
      </c>
      <c r="H33" s="9">
        <v>19.5</v>
      </c>
      <c r="I33" s="24">
        <f t="shared" si="5"/>
        <v>140.66999999999999</v>
      </c>
      <c r="J33" s="13">
        <f t="shared" si="6"/>
        <v>8299.5299999999988</v>
      </c>
      <c r="K33" s="139"/>
      <c r="L33" s="44">
        <v>59</v>
      </c>
      <c r="M33" s="106">
        <f t="shared" si="22"/>
        <v>1900</v>
      </c>
      <c r="N33" s="107">
        <f t="shared" si="23"/>
        <v>2660</v>
      </c>
      <c r="O33" s="106">
        <f t="shared" si="24"/>
        <v>3420</v>
      </c>
      <c r="P33" s="174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83"/>
      <c r="AB33" s="185"/>
    </row>
    <row r="34" spans="1:28" ht="15.75" thickBot="1" x14ac:dyDescent="0.3">
      <c r="A34" s="17"/>
      <c r="B34" s="2"/>
      <c r="C34" s="18"/>
      <c r="D34" s="17"/>
      <c r="E34" s="2"/>
      <c r="F34" s="2"/>
      <c r="G34" s="2"/>
      <c r="H34" s="2"/>
      <c r="I34" s="2"/>
      <c r="J34" s="2"/>
      <c r="K34" s="18"/>
      <c r="L34" s="140" t="s">
        <v>103</v>
      </c>
      <c r="M34" s="141"/>
      <c r="N34" s="141"/>
      <c r="O34" s="141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3"/>
    </row>
    <row r="35" spans="1:28" x14ac:dyDescent="0.25">
      <c r="A35" s="17"/>
      <c r="B35" s="2"/>
      <c r="C35" s="18"/>
      <c r="D35" s="17"/>
      <c r="E35" s="2"/>
      <c r="F35" s="19"/>
      <c r="G35" s="19"/>
      <c r="H35" s="19"/>
      <c r="I35" s="20"/>
      <c r="J35" s="2"/>
      <c r="K35" s="18"/>
      <c r="L35" s="17"/>
      <c r="M35" s="17"/>
      <c r="N35" s="17"/>
      <c r="O35" s="17"/>
    </row>
    <row r="36" spans="1:28" ht="23.25" x14ac:dyDescent="0.35">
      <c r="A36" s="144" t="s">
        <v>19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</row>
    <row r="37" spans="1:28" ht="15" customHeight="1" x14ac:dyDescent="0.3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</row>
    <row r="38" spans="1:28" ht="15.75" x14ac:dyDescent="0.25">
      <c r="A38" s="37" t="s">
        <v>18</v>
      </c>
      <c r="B38" s="5"/>
      <c r="C38" s="5"/>
      <c r="D38" s="5"/>
      <c r="E38" s="5"/>
      <c r="F38" s="6"/>
      <c r="G38" s="6"/>
      <c r="H38" s="38" t="s">
        <v>31</v>
      </c>
      <c r="I38" s="6"/>
      <c r="J38" s="6"/>
      <c r="K38" s="6"/>
      <c r="L38" s="6"/>
      <c r="M38" s="6"/>
      <c r="N38" s="6"/>
      <c r="O38" s="6"/>
    </row>
    <row r="39" spans="1:28" x14ac:dyDescent="0.25">
      <c r="A39" s="4" t="s">
        <v>16</v>
      </c>
      <c r="B39" s="5"/>
      <c r="C39" s="5"/>
      <c r="D39" s="5"/>
      <c r="E39" s="5"/>
      <c r="F39" s="6"/>
      <c r="G39" s="6"/>
      <c r="H39" t="s">
        <v>33</v>
      </c>
      <c r="I39" s="6"/>
      <c r="J39" s="6"/>
      <c r="K39" s="6"/>
      <c r="L39" s="6"/>
      <c r="M39" s="6"/>
      <c r="N39" s="6"/>
      <c r="O39" s="6"/>
    </row>
    <row r="40" spans="1:28" x14ac:dyDescent="0.25">
      <c r="A40" s="4" t="s">
        <v>106</v>
      </c>
      <c r="H40" s="1" t="s">
        <v>2</v>
      </c>
      <c r="J40" s="3"/>
    </row>
    <row r="41" spans="1:28" x14ac:dyDescent="0.25">
      <c r="A41" s="4" t="s">
        <v>105</v>
      </c>
      <c r="H41" s="1" t="s">
        <v>58</v>
      </c>
      <c r="J41" s="3"/>
    </row>
    <row r="42" spans="1:28" x14ac:dyDescent="0.25">
      <c r="A42" s="4" t="s">
        <v>65</v>
      </c>
      <c r="H42" s="1" t="s">
        <v>59</v>
      </c>
      <c r="J42" s="3"/>
    </row>
    <row r="43" spans="1:28" x14ac:dyDescent="0.25">
      <c r="A43" s="4"/>
      <c r="H43" s="1" t="s">
        <v>60</v>
      </c>
      <c r="J43" s="3"/>
    </row>
    <row r="44" spans="1:28" ht="15.75" x14ac:dyDescent="0.25">
      <c r="A44" s="39" t="s">
        <v>20</v>
      </c>
      <c r="H44" t="s">
        <v>61</v>
      </c>
      <c r="J44" s="3"/>
    </row>
    <row r="45" spans="1:28" x14ac:dyDescent="0.25">
      <c r="A45" s="4" t="s">
        <v>22</v>
      </c>
      <c r="H45" t="s">
        <v>3</v>
      </c>
      <c r="I45" s="2"/>
      <c r="J45" s="2"/>
    </row>
    <row r="46" spans="1:28" x14ac:dyDescent="0.25">
      <c r="A46" s="4" t="s">
        <v>23</v>
      </c>
      <c r="H46" t="s">
        <v>4</v>
      </c>
      <c r="I46" s="2"/>
      <c r="J46" s="2"/>
    </row>
    <row r="47" spans="1:28" x14ac:dyDescent="0.25">
      <c r="A47" s="4" t="s">
        <v>102</v>
      </c>
      <c r="H47" t="s">
        <v>66</v>
      </c>
    </row>
    <row r="48" spans="1:28" x14ac:dyDescent="0.25">
      <c r="A48" s="4" t="s">
        <v>21</v>
      </c>
    </row>
    <row r="49" spans="1:15" ht="15.75" x14ac:dyDescent="0.25">
      <c r="A49" s="4" t="s">
        <v>32</v>
      </c>
      <c r="H49" s="38" t="s">
        <v>24</v>
      </c>
    </row>
    <row r="50" spans="1:15" x14ac:dyDescent="0.25">
      <c r="A50" s="4" t="s">
        <v>37</v>
      </c>
      <c r="H50" t="s">
        <v>25</v>
      </c>
      <c r="I50" s="2"/>
      <c r="J50" s="2"/>
    </row>
    <row r="51" spans="1:15" x14ac:dyDescent="0.25">
      <c r="A51" s="4" t="s">
        <v>108</v>
      </c>
      <c r="H51" t="s">
        <v>27</v>
      </c>
      <c r="I51" s="2"/>
      <c r="J51" s="2"/>
    </row>
    <row r="52" spans="1:15" x14ac:dyDescent="0.25">
      <c r="A52" s="4" t="s">
        <v>35</v>
      </c>
      <c r="H52" t="s">
        <v>64</v>
      </c>
      <c r="I52" s="2"/>
      <c r="J52" s="2"/>
    </row>
    <row r="53" spans="1:15" x14ac:dyDescent="0.25">
      <c r="A53" s="4" t="s">
        <v>62</v>
      </c>
      <c r="H53" t="s">
        <v>28</v>
      </c>
      <c r="I53" s="2"/>
      <c r="J53" s="2"/>
    </row>
    <row r="54" spans="1:15" x14ac:dyDescent="0.25">
      <c r="A54" s="4" t="s">
        <v>63</v>
      </c>
      <c r="H54" t="s">
        <v>39</v>
      </c>
      <c r="I54" s="2"/>
      <c r="J54" s="2"/>
    </row>
    <row r="55" spans="1:15" x14ac:dyDescent="0.25">
      <c r="A55" s="4" t="s">
        <v>65</v>
      </c>
    </row>
    <row r="56" spans="1:15" x14ac:dyDescent="0.25">
      <c r="A56" s="4"/>
    </row>
    <row r="57" spans="1:15" x14ac:dyDescent="0.25">
      <c r="A57" s="6" t="s">
        <v>26</v>
      </c>
      <c r="B57" s="103"/>
      <c r="C57" s="103"/>
    </row>
    <row r="58" spans="1:15" x14ac:dyDescent="0.25">
      <c r="A58" s="64" t="s">
        <v>34</v>
      </c>
      <c r="B58" s="104"/>
      <c r="C58" s="104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</row>
    <row r="59" spans="1:15" x14ac:dyDescent="0.25">
      <c r="B59" s="21"/>
      <c r="C59" s="21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</row>
    <row r="60" spans="1:15" x14ac:dyDescent="0.25"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4"/>
    </row>
  </sheetData>
  <mergeCells count="76">
    <mergeCell ref="V32:V33"/>
    <mergeCell ref="K9:K25"/>
    <mergeCell ref="K26:K33"/>
    <mergeCell ref="X18:X21"/>
    <mergeCell ref="AB9:AB17"/>
    <mergeCell ref="AB18:AB21"/>
    <mergeCell ref="AB29:AB30"/>
    <mergeCell ref="X32:X33"/>
    <mergeCell ref="Y32:Y33"/>
    <mergeCell ref="Z32:Z33"/>
    <mergeCell ref="AA32:AA33"/>
    <mergeCell ref="AB32:AB33"/>
    <mergeCell ref="Y18:Y21"/>
    <mergeCell ref="Z18:Z21"/>
    <mergeCell ref="AA9:AA17"/>
    <mergeCell ref="W32:W33"/>
    <mergeCell ref="AA18:AA21"/>
    <mergeCell ref="Q29:Q30"/>
    <mergeCell ref="R29:R30"/>
    <mergeCell ref="S29:S30"/>
    <mergeCell ref="T29:T30"/>
    <mergeCell ref="U29:U30"/>
    <mergeCell ref="V29:V30"/>
    <mergeCell ref="W29:W30"/>
    <mergeCell ref="X29:X30"/>
    <mergeCell ref="Y29:Y30"/>
    <mergeCell ref="Z29:Z30"/>
    <mergeCell ref="AA29:AA30"/>
    <mergeCell ref="V18:V21"/>
    <mergeCell ref="W18:W21"/>
    <mergeCell ref="R18:R21"/>
    <mergeCell ref="S18:S21"/>
    <mergeCell ref="P1:AB6"/>
    <mergeCell ref="P7:AB7"/>
    <mergeCell ref="P9:P17"/>
    <mergeCell ref="P18:P21"/>
    <mergeCell ref="P29:P30"/>
    <mergeCell ref="Q9:Q17"/>
    <mergeCell ref="Q18:Q21"/>
    <mergeCell ref="R9:R17"/>
    <mergeCell ref="S9:S17"/>
    <mergeCell ref="T9:T17"/>
    <mergeCell ref="U9:U17"/>
    <mergeCell ref="V9:V17"/>
    <mergeCell ref="W9:W17"/>
    <mergeCell ref="X9:X17"/>
    <mergeCell ref="Y9:Y17"/>
    <mergeCell ref="Z9:Z17"/>
    <mergeCell ref="A1:O6"/>
    <mergeCell ref="C22:C33"/>
    <mergeCell ref="A7:B7"/>
    <mergeCell ref="D7:J7"/>
    <mergeCell ref="L7:O7"/>
    <mergeCell ref="L34:AB34"/>
    <mergeCell ref="A36:O36"/>
    <mergeCell ref="AA22:AA28"/>
    <mergeCell ref="X22:X28"/>
    <mergeCell ref="Y22:Y28"/>
    <mergeCell ref="P22:P28"/>
    <mergeCell ref="Z22:Z28"/>
    <mergeCell ref="V22:V28"/>
    <mergeCell ref="W22:W28"/>
    <mergeCell ref="AB22:AB28"/>
    <mergeCell ref="P32:P33"/>
    <mergeCell ref="Q32:Q33"/>
    <mergeCell ref="R32:R33"/>
    <mergeCell ref="S32:S33"/>
    <mergeCell ref="T32:T33"/>
    <mergeCell ref="U32:U33"/>
    <mergeCell ref="T18:T21"/>
    <mergeCell ref="U18:U21"/>
    <mergeCell ref="Q22:Q28"/>
    <mergeCell ref="R22:R28"/>
    <mergeCell ref="S22:S28"/>
    <mergeCell ref="T22:T28"/>
    <mergeCell ref="U22:U28"/>
  </mergeCells>
  <pageMargins left="0.7" right="0.7" top="0.75" bottom="0.75" header="0.3" footer="0.3"/>
  <pageSetup scale="37" orientation="landscape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4C13A-EB1B-4454-922E-10647782ACAD}">
  <sheetPr>
    <pageSetUpPr fitToPage="1"/>
  </sheetPr>
  <dimension ref="A1:AA65"/>
  <sheetViews>
    <sheetView workbookViewId="0">
      <selection activeCell="A7" sqref="A7:B7"/>
    </sheetView>
  </sheetViews>
  <sheetFormatPr defaultRowHeight="15" x14ac:dyDescent="0.25"/>
  <cols>
    <col min="1" max="1" width="8.42578125" customWidth="1"/>
    <col min="2" max="2" width="16.5703125" customWidth="1"/>
    <col min="3" max="3" width="18.85546875" customWidth="1"/>
    <col min="4" max="4" width="14.7109375" customWidth="1"/>
    <col min="5" max="5" width="9" bestFit="1" customWidth="1"/>
    <col min="6" max="6" width="8" bestFit="1" customWidth="1"/>
    <col min="7" max="7" width="10" bestFit="1" customWidth="1"/>
    <col min="8" max="8" width="11.28515625" bestFit="1" customWidth="1"/>
    <col min="9" max="9" width="10.42578125" customWidth="1"/>
    <col min="10" max="10" width="12.7109375" customWidth="1"/>
    <col min="11" max="11" width="17.140625" customWidth="1"/>
    <col min="12" max="12" width="9.7109375" customWidth="1"/>
    <col min="13" max="13" width="13.42578125" customWidth="1"/>
    <col min="14" max="16" width="11" bestFit="1" customWidth="1"/>
    <col min="17" max="17" width="11.140625" bestFit="1" customWidth="1"/>
    <col min="18" max="18" width="11.28515625" bestFit="1" customWidth="1"/>
    <col min="19" max="19" width="10.85546875" customWidth="1"/>
    <col min="20" max="24" width="11" bestFit="1" customWidth="1"/>
    <col min="25" max="26" width="10.85546875" customWidth="1"/>
    <col min="27" max="27" width="10.85546875" bestFit="1" customWidth="1"/>
  </cols>
  <sheetData>
    <row r="1" spans="1:27" ht="15" customHeight="1" x14ac:dyDescent="0.25">
      <c r="A1" s="145" t="s">
        <v>57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7"/>
      <c r="O1" s="154" t="s">
        <v>67</v>
      </c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6"/>
    </row>
    <row r="2" spans="1:27" ht="15" customHeight="1" x14ac:dyDescent="0.25">
      <c r="A2" s="148"/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50"/>
      <c r="O2" s="157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9"/>
    </row>
    <row r="3" spans="1:27" ht="15" customHeight="1" x14ac:dyDescent="0.25">
      <c r="A3" s="148"/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50"/>
      <c r="O3" s="157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9"/>
    </row>
    <row r="4" spans="1:27" ht="15" customHeight="1" x14ac:dyDescent="0.25">
      <c r="A4" s="148"/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50"/>
      <c r="O4" s="157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9"/>
    </row>
    <row r="5" spans="1:27" ht="15" customHeight="1" x14ac:dyDescent="0.25">
      <c r="A5" s="148"/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50"/>
      <c r="O5" s="157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  <c r="AA5" s="159"/>
    </row>
    <row r="6" spans="1:27" ht="15.75" customHeight="1" thickBot="1" x14ac:dyDescent="0.3">
      <c r="A6" s="151"/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3"/>
      <c r="O6" s="160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2"/>
    </row>
    <row r="7" spans="1:27" ht="15.75" thickBot="1" x14ac:dyDescent="0.3">
      <c r="A7" s="163" t="s">
        <v>17</v>
      </c>
      <c r="B7" s="164"/>
      <c r="C7" s="14" t="s">
        <v>30</v>
      </c>
      <c r="D7" s="163" t="s">
        <v>10</v>
      </c>
      <c r="E7" s="165"/>
      <c r="F7" s="165"/>
      <c r="G7" s="165"/>
      <c r="H7" s="165"/>
      <c r="I7" s="165"/>
      <c r="J7" s="164"/>
      <c r="K7" s="15" t="s">
        <v>29</v>
      </c>
      <c r="L7" s="163" t="s">
        <v>12</v>
      </c>
      <c r="M7" s="165"/>
      <c r="N7" s="164"/>
      <c r="O7" s="166" t="s">
        <v>36</v>
      </c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8"/>
    </row>
    <row r="8" spans="1:27" s="1" customFormat="1" ht="45.75" thickBot="1" x14ac:dyDescent="0.3">
      <c r="A8" s="55" t="s">
        <v>71</v>
      </c>
      <c r="B8" s="56" t="s">
        <v>9</v>
      </c>
      <c r="C8" s="57" t="s">
        <v>11</v>
      </c>
      <c r="D8" s="55" t="s">
        <v>72</v>
      </c>
      <c r="E8" s="58" t="s">
        <v>0</v>
      </c>
      <c r="F8" s="59" t="s">
        <v>5</v>
      </c>
      <c r="G8" s="59" t="s">
        <v>6</v>
      </c>
      <c r="H8" s="59" t="s">
        <v>7</v>
      </c>
      <c r="I8" s="60" t="s">
        <v>8</v>
      </c>
      <c r="J8" s="61" t="s">
        <v>13</v>
      </c>
      <c r="K8" s="61" t="s">
        <v>68</v>
      </c>
      <c r="L8" s="55" t="s">
        <v>71</v>
      </c>
      <c r="M8" s="56" t="s">
        <v>14</v>
      </c>
      <c r="N8" s="62" t="s">
        <v>15</v>
      </c>
      <c r="O8" s="36" t="s">
        <v>52</v>
      </c>
      <c r="P8" s="36" t="s">
        <v>51</v>
      </c>
      <c r="Q8" s="36" t="s">
        <v>54</v>
      </c>
      <c r="R8" s="36" t="s">
        <v>45</v>
      </c>
      <c r="S8" s="36" t="s">
        <v>47</v>
      </c>
      <c r="T8" s="36" t="s">
        <v>48</v>
      </c>
      <c r="U8" s="36" t="s">
        <v>44</v>
      </c>
      <c r="V8" s="36" t="s">
        <v>46</v>
      </c>
      <c r="W8" s="36" t="s">
        <v>49</v>
      </c>
      <c r="X8" s="36" t="s">
        <v>50</v>
      </c>
      <c r="Y8" s="36" t="s">
        <v>53</v>
      </c>
      <c r="Z8" s="54" t="s">
        <v>55</v>
      </c>
      <c r="AA8" s="10" t="s">
        <v>56</v>
      </c>
    </row>
    <row r="9" spans="1:27" ht="15" customHeight="1" x14ac:dyDescent="0.25">
      <c r="A9" s="31">
        <v>10</v>
      </c>
      <c r="B9" s="28">
        <v>895</v>
      </c>
      <c r="C9" s="26" t="s">
        <v>1</v>
      </c>
      <c r="D9" s="31">
        <v>10</v>
      </c>
      <c r="E9" s="51">
        <v>115</v>
      </c>
      <c r="F9" s="25">
        <v>7.51</v>
      </c>
      <c r="G9" s="8">
        <v>9.6</v>
      </c>
      <c r="H9" s="8">
        <v>19.5</v>
      </c>
      <c r="I9" s="22">
        <f>SUM(E9:H9)</f>
        <v>151.61000000000001</v>
      </c>
      <c r="J9" s="11">
        <f>I9*D9</f>
        <v>1516.1000000000001</v>
      </c>
      <c r="K9" s="137" t="s">
        <v>40</v>
      </c>
      <c r="L9" s="40">
        <v>10</v>
      </c>
      <c r="M9" s="45">
        <f>180*5</f>
        <v>900</v>
      </c>
      <c r="N9" s="46">
        <f>180*7</f>
        <v>1260</v>
      </c>
      <c r="O9" s="189">
        <v>8200</v>
      </c>
      <c r="P9" s="189">
        <v>8500</v>
      </c>
      <c r="Q9" s="189">
        <v>8900</v>
      </c>
      <c r="R9" s="195">
        <v>8900</v>
      </c>
      <c r="S9" s="195">
        <v>8900</v>
      </c>
      <c r="T9" s="195">
        <v>8900</v>
      </c>
      <c r="U9" s="195">
        <v>8900</v>
      </c>
      <c r="V9" s="195">
        <v>8900</v>
      </c>
      <c r="W9" s="189">
        <v>9500</v>
      </c>
      <c r="X9" s="189">
        <v>9500</v>
      </c>
      <c r="Y9" s="189">
        <v>10200</v>
      </c>
      <c r="Z9" s="189">
        <v>10300</v>
      </c>
      <c r="AA9" s="137">
        <v>180</v>
      </c>
    </row>
    <row r="10" spans="1:27" ht="15" customHeight="1" x14ac:dyDescent="0.25">
      <c r="A10" s="32">
        <v>15</v>
      </c>
      <c r="B10" s="29">
        <v>895</v>
      </c>
      <c r="C10" s="27" t="s">
        <v>1</v>
      </c>
      <c r="D10" s="32">
        <v>15</v>
      </c>
      <c r="E10" s="52">
        <v>115</v>
      </c>
      <c r="F10" s="7">
        <v>7.51</v>
      </c>
      <c r="G10" s="7">
        <v>9.6</v>
      </c>
      <c r="H10" s="7">
        <v>19.5</v>
      </c>
      <c r="I10" s="23">
        <f t="shared" ref="I10:I29" si="0">SUM(E10:H10)</f>
        <v>151.61000000000001</v>
      </c>
      <c r="J10" s="12">
        <f t="shared" ref="J10:J29" si="1">I10*D10</f>
        <v>2274.15</v>
      </c>
      <c r="K10" s="138"/>
      <c r="L10" s="41">
        <v>15</v>
      </c>
      <c r="M10" s="47">
        <f t="shared" ref="M10:M14" si="2">180*5</f>
        <v>900</v>
      </c>
      <c r="N10" s="48">
        <f>180*7</f>
        <v>1260</v>
      </c>
      <c r="O10" s="190"/>
      <c r="P10" s="190"/>
      <c r="Q10" s="190"/>
      <c r="R10" s="196"/>
      <c r="S10" s="196"/>
      <c r="T10" s="196"/>
      <c r="U10" s="196"/>
      <c r="V10" s="196"/>
      <c r="W10" s="190"/>
      <c r="X10" s="190"/>
      <c r="Y10" s="190"/>
      <c r="Z10" s="190"/>
      <c r="AA10" s="138"/>
    </row>
    <row r="11" spans="1:27" ht="15" customHeight="1" x14ac:dyDescent="0.25">
      <c r="A11" s="32">
        <v>17</v>
      </c>
      <c r="B11" s="29">
        <v>895</v>
      </c>
      <c r="C11" s="27" t="s">
        <v>1</v>
      </c>
      <c r="D11" s="32">
        <v>17</v>
      </c>
      <c r="E11" s="52">
        <v>115</v>
      </c>
      <c r="F11" s="7">
        <v>7.51</v>
      </c>
      <c r="G11" s="7">
        <v>9.6</v>
      </c>
      <c r="H11" s="7">
        <v>19.5</v>
      </c>
      <c r="I11" s="23">
        <f t="shared" si="0"/>
        <v>151.61000000000001</v>
      </c>
      <c r="J11" s="12">
        <f t="shared" si="1"/>
        <v>2577.3700000000003</v>
      </c>
      <c r="K11" s="138"/>
      <c r="L11" s="41">
        <v>17</v>
      </c>
      <c r="M11" s="47">
        <f t="shared" si="2"/>
        <v>900</v>
      </c>
      <c r="N11" s="48">
        <f t="shared" ref="N11:N14" si="3">180*7</f>
        <v>1260</v>
      </c>
      <c r="O11" s="190"/>
      <c r="P11" s="190"/>
      <c r="Q11" s="190"/>
      <c r="R11" s="196"/>
      <c r="S11" s="196"/>
      <c r="T11" s="196"/>
      <c r="U11" s="196"/>
      <c r="V11" s="196"/>
      <c r="W11" s="190"/>
      <c r="X11" s="190"/>
      <c r="Y11" s="190"/>
      <c r="Z11" s="190"/>
      <c r="AA11" s="138"/>
    </row>
    <row r="12" spans="1:27" ht="15" customHeight="1" x14ac:dyDescent="0.25">
      <c r="A12" s="32">
        <v>18</v>
      </c>
      <c r="B12" s="29">
        <v>895</v>
      </c>
      <c r="C12" s="27" t="s">
        <v>1</v>
      </c>
      <c r="D12" s="32">
        <v>18</v>
      </c>
      <c r="E12" s="52">
        <v>115</v>
      </c>
      <c r="F12" s="7">
        <v>7.51</v>
      </c>
      <c r="G12" s="7">
        <v>9.6</v>
      </c>
      <c r="H12" s="7">
        <v>19.5</v>
      </c>
      <c r="I12" s="23">
        <f t="shared" si="0"/>
        <v>151.61000000000001</v>
      </c>
      <c r="J12" s="12">
        <f t="shared" si="1"/>
        <v>2728.9800000000005</v>
      </c>
      <c r="K12" s="138"/>
      <c r="L12" s="41">
        <v>18</v>
      </c>
      <c r="M12" s="47">
        <f t="shared" si="2"/>
        <v>900</v>
      </c>
      <c r="N12" s="48">
        <f t="shared" si="3"/>
        <v>1260</v>
      </c>
      <c r="O12" s="190"/>
      <c r="P12" s="190"/>
      <c r="Q12" s="190"/>
      <c r="R12" s="196"/>
      <c r="S12" s="196"/>
      <c r="T12" s="196"/>
      <c r="U12" s="196"/>
      <c r="V12" s="196"/>
      <c r="W12" s="190"/>
      <c r="X12" s="190"/>
      <c r="Y12" s="190"/>
      <c r="Z12" s="190"/>
      <c r="AA12" s="138"/>
    </row>
    <row r="13" spans="1:27" ht="15" customHeight="1" x14ac:dyDescent="0.25">
      <c r="A13" s="33">
        <v>20</v>
      </c>
      <c r="B13" s="29">
        <v>895</v>
      </c>
      <c r="C13" s="27" t="s">
        <v>1</v>
      </c>
      <c r="D13" s="33">
        <v>20</v>
      </c>
      <c r="E13" s="52">
        <v>98</v>
      </c>
      <c r="F13" s="7">
        <v>7.51</v>
      </c>
      <c r="G13" s="7">
        <v>9.6</v>
      </c>
      <c r="H13" s="7">
        <v>19.5</v>
      </c>
      <c r="I13" s="23">
        <f>SUM(E13:H13)</f>
        <v>134.61000000000001</v>
      </c>
      <c r="J13" s="12">
        <f t="shared" si="1"/>
        <v>2692.2000000000003</v>
      </c>
      <c r="K13" s="138"/>
      <c r="L13" s="42">
        <v>20</v>
      </c>
      <c r="M13" s="47">
        <f t="shared" si="2"/>
        <v>900</v>
      </c>
      <c r="N13" s="48">
        <f t="shared" si="3"/>
        <v>1260</v>
      </c>
      <c r="O13" s="190"/>
      <c r="P13" s="190"/>
      <c r="Q13" s="190"/>
      <c r="R13" s="196"/>
      <c r="S13" s="196"/>
      <c r="T13" s="196"/>
      <c r="U13" s="196"/>
      <c r="V13" s="196"/>
      <c r="W13" s="190"/>
      <c r="X13" s="190"/>
      <c r="Y13" s="190"/>
      <c r="Z13" s="190"/>
      <c r="AA13" s="138"/>
    </row>
    <row r="14" spans="1:27" ht="15.75" customHeight="1" x14ac:dyDescent="0.25">
      <c r="A14" s="33">
        <v>22</v>
      </c>
      <c r="B14" s="29">
        <v>895</v>
      </c>
      <c r="C14" s="27" t="s">
        <v>1</v>
      </c>
      <c r="D14" s="33">
        <v>22</v>
      </c>
      <c r="E14" s="52">
        <v>98</v>
      </c>
      <c r="F14" s="7">
        <v>7.51</v>
      </c>
      <c r="G14" s="7">
        <v>9.6</v>
      </c>
      <c r="H14" s="7">
        <v>19.5</v>
      </c>
      <c r="I14" s="23">
        <f t="shared" si="0"/>
        <v>134.61000000000001</v>
      </c>
      <c r="J14" s="12">
        <f t="shared" si="1"/>
        <v>2961.42</v>
      </c>
      <c r="K14" s="138"/>
      <c r="L14" s="42">
        <v>22</v>
      </c>
      <c r="M14" s="47">
        <f t="shared" si="2"/>
        <v>900</v>
      </c>
      <c r="N14" s="48">
        <f t="shared" si="3"/>
        <v>1260</v>
      </c>
      <c r="O14" s="190"/>
      <c r="P14" s="190"/>
      <c r="Q14" s="190"/>
      <c r="R14" s="196"/>
      <c r="S14" s="196"/>
      <c r="T14" s="196"/>
      <c r="U14" s="196"/>
      <c r="V14" s="196"/>
      <c r="W14" s="190"/>
      <c r="X14" s="190"/>
      <c r="Y14" s="190"/>
      <c r="Z14" s="190"/>
      <c r="AA14" s="138"/>
    </row>
    <row r="15" spans="1:27" x14ac:dyDescent="0.25">
      <c r="A15" s="34">
        <v>24</v>
      </c>
      <c r="B15" s="29">
        <v>895</v>
      </c>
      <c r="C15" s="27" t="s">
        <v>1</v>
      </c>
      <c r="D15" s="34">
        <v>24</v>
      </c>
      <c r="E15" s="52">
        <v>98</v>
      </c>
      <c r="F15" s="7">
        <v>7.51</v>
      </c>
      <c r="G15" s="7">
        <v>9.6</v>
      </c>
      <c r="H15" s="7">
        <v>19.5</v>
      </c>
      <c r="I15" s="23">
        <f t="shared" si="0"/>
        <v>134.61000000000001</v>
      </c>
      <c r="J15" s="12">
        <f t="shared" si="1"/>
        <v>3230.6400000000003</v>
      </c>
      <c r="K15" s="138"/>
      <c r="L15" s="43">
        <v>24</v>
      </c>
      <c r="M15" s="47">
        <f t="shared" ref="M15:M17" si="4">265*5</f>
        <v>1325</v>
      </c>
      <c r="N15" s="48">
        <f t="shared" ref="N15:N17" si="5">265*7</f>
        <v>1855</v>
      </c>
      <c r="O15" s="191"/>
      <c r="P15" s="191"/>
      <c r="Q15" s="191"/>
      <c r="R15" s="197"/>
      <c r="S15" s="197"/>
      <c r="T15" s="197"/>
      <c r="U15" s="197"/>
      <c r="V15" s="197"/>
      <c r="W15" s="191"/>
      <c r="X15" s="191"/>
      <c r="Y15" s="191"/>
      <c r="Z15" s="191"/>
      <c r="AA15" s="182"/>
    </row>
    <row r="16" spans="1:27" ht="15" customHeight="1" x14ac:dyDescent="0.25">
      <c r="A16" s="34">
        <v>26</v>
      </c>
      <c r="B16" s="29">
        <v>895</v>
      </c>
      <c r="C16" s="27" t="s">
        <v>1</v>
      </c>
      <c r="D16" s="34">
        <v>26</v>
      </c>
      <c r="E16" s="52">
        <v>98</v>
      </c>
      <c r="F16" s="7">
        <v>7.51</v>
      </c>
      <c r="G16" s="7">
        <v>9.6</v>
      </c>
      <c r="H16" s="7">
        <v>19.5</v>
      </c>
      <c r="I16" s="23">
        <f t="shared" si="0"/>
        <v>134.61000000000001</v>
      </c>
      <c r="J16" s="12">
        <f t="shared" si="1"/>
        <v>3499.8600000000006</v>
      </c>
      <c r="K16" s="138"/>
      <c r="L16" s="43">
        <v>26</v>
      </c>
      <c r="M16" s="47">
        <f t="shared" si="4"/>
        <v>1325</v>
      </c>
      <c r="N16" s="48">
        <f t="shared" si="5"/>
        <v>1855</v>
      </c>
      <c r="O16" s="192">
        <v>9000</v>
      </c>
      <c r="P16" s="192">
        <v>9200</v>
      </c>
      <c r="Q16" s="192">
        <v>9900</v>
      </c>
      <c r="R16" s="192">
        <v>10100</v>
      </c>
      <c r="S16" s="192">
        <v>9600</v>
      </c>
      <c r="T16" s="192">
        <v>9800</v>
      </c>
      <c r="U16" s="192">
        <v>10000</v>
      </c>
      <c r="V16" s="192">
        <v>9900</v>
      </c>
      <c r="W16" s="192">
        <v>10600</v>
      </c>
      <c r="X16" s="192">
        <v>10600</v>
      </c>
      <c r="Y16" s="192">
        <v>11100</v>
      </c>
      <c r="Z16" s="198">
        <v>11000</v>
      </c>
      <c r="AA16" s="201">
        <v>265</v>
      </c>
    </row>
    <row r="17" spans="1:27" x14ac:dyDescent="0.25">
      <c r="A17" s="32">
        <v>28</v>
      </c>
      <c r="B17" s="29">
        <v>895</v>
      </c>
      <c r="C17" s="27" t="s">
        <v>1</v>
      </c>
      <c r="D17" s="32">
        <v>28</v>
      </c>
      <c r="E17" s="52">
        <v>98</v>
      </c>
      <c r="F17" s="7">
        <v>7.51</v>
      </c>
      <c r="G17" s="7">
        <v>9.6</v>
      </c>
      <c r="H17" s="7">
        <v>19.5</v>
      </c>
      <c r="I17" s="23">
        <f t="shared" si="0"/>
        <v>134.61000000000001</v>
      </c>
      <c r="J17" s="12">
        <f t="shared" si="1"/>
        <v>3769.0800000000004</v>
      </c>
      <c r="K17" s="138"/>
      <c r="L17" s="41">
        <v>28</v>
      </c>
      <c r="M17" s="47">
        <f t="shared" si="4"/>
        <v>1325</v>
      </c>
      <c r="N17" s="48">
        <f t="shared" si="5"/>
        <v>1855</v>
      </c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9"/>
      <c r="AA17" s="138"/>
    </row>
    <row r="18" spans="1:27" x14ac:dyDescent="0.25">
      <c r="A18" s="32">
        <v>30</v>
      </c>
      <c r="B18" s="29">
        <v>995</v>
      </c>
      <c r="C18" s="27" t="s">
        <v>1</v>
      </c>
      <c r="D18" s="32">
        <v>30</v>
      </c>
      <c r="E18" s="52">
        <v>98</v>
      </c>
      <c r="F18" s="7">
        <v>7.51</v>
      </c>
      <c r="G18" s="7">
        <v>9.6</v>
      </c>
      <c r="H18" s="7">
        <v>19.5</v>
      </c>
      <c r="I18" s="23">
        <f t="shared" si="0"/>
        <v>134.61000000000001</v>
      </c>
      <c r="J18" s="12">
        <f t="shared" si="1"/>
        <v>4038.3</v>
      </c>
      <c r="K18" s="138"/>
      <c r="L18" s="41">
        <v>30</v>
      </c>
      <c r="M18" s="47">
        <f>265*5</f>
        <v>1325</v>
      </c>
      <c r="N18" s="48">
        <f>265*7</f>
        <v>1855</v>
      </c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200"/>
      <c r="AA18" s="182"/>
    </row>
    <row r="19" spans="1:27" x14ac:dyDescent="0.25">
      <c r="A19" s="32">
        <v>32</v>
      </c>
      <c r="B19" s="29">
        <v>995</v>
      </c>
      <c r="C19" s="135" t="s">
        <v>38</v>
      </c>
      <c r="D19" s="32">
        <v>32</v>
      </c>
      <c r="E19" s="52">
        <v>98</v>
      </c>
      <c r="F19" s="7">
        <v>7.51</v>
      </c>
      <c r="G19" s="7">
        <v>9.6</v>
      </c>
      <c r="H19" s="7">
        <v>19.5</v>
      </c>
      <c r="I19" s="23">
        <f t="shared" si="0"/>
        <v>134.61000000000001</v>
      </c>
      <c r="J19" s="12">
        <f t="shared" si="1"/>
        <v>4307.5200000000004</v>
      </c>
      <c r="K19" s="138"/>
      <c r="L19" s="41">
        <v>32</v>
      </c>
      <c r="M19" s="47">
        <f>300*5</f>
        <v>1500</v>
      </c>
      <c r="N19" s="48">
        <f>300*7</f>
        <v>2100</v>
      </c>
      <c r="O19" s="192">
        <v>10150</v>
      </c>
      <c r="P19" s="192">
        <v>10200</v>
      </c>
      <c r="Q19" s="192">
        <v>10600</v>
      </c>
      <c r="R19" s="192">
        <v>10600</v>
      </c>
      <c r="S19" s="192">
        <v>10600</v>
      </c>
      <c r="T19" s="192">
        <v>10700</v>
      </c>
      <c r="U19" s="192">
        <v>10800</v>
      </c>
      <c r="V19" s="192">
        <v>10900</v>
      </c>
      <c r="W19" s="192">
        <v>11400</v>
      </c>
      <c r="X19" s="192">
        <v>11800</v>
      </c>
      <c r="Y19" s="192">
        <v>12300</v>
      </c>
      <c r="Z19" s="198">
        <v>12500</v>
      </c>
      <c r="AA19" s="201">
        <v>265</v>
      </c>
    </row>
    <row r="20" spans="1:27" x14ac:dyDescent="0.25">
      <c r="A20" s="32">
        <v>34</v>
      </c>
      <c r="B20" s="29">
        <v>995</v>
      </c>
      <c r="C20" s="135"/>
      <c r="D20" s="32">
        <v>34</v>
      </c>
      <c r="E20" s="52">
        <v>98</v>
      </c>
      <c r="F20" s="7">
        <v>7.51</v>
      </c>
      <c r="G20" s="7">
        <v>9.6</v>
      </c>
      <c r="H20" s="7">
        <v>19.5</v>
      </c>
      <c r="I20" s="23">
        <f t="shared" si="0"/>
        <v>134.61000000000001</v>
      </c>
      <c r="J20" s="12">
        <f t="shared" si="1"/>
        <v>4576.7400000000007</v>
      </c>
      <c r="K20" s="138"/>
      <c r="L20" s="41">
        <v>34</v>
      </c>
      <c r="M20" s="47">
        <f t="shared" ref="M20:M25" si="6">300*5</f>
        <v>1500</v>
      </c>
      <c r="N20" s="48">
        <f t="shared" ref="N20:N25" si="7">300*7</f>
        <v>2100</v>
      </c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9"/>
      <c r="AA20" s="138"/>
    </row>
    <row r="21" spans="1:27" x14ac:dyDescent="0.25">
      <c r="A21" s="33">
        <v>36</v>
      </c>
      <c r="B21" s="29">
        <v>1250</v>
      </c>
      <c r="C21" s="135"/>
      <c r="D21" s="33">
        <v>36</v>
      </c>
      <c r="E21" s="52">
        <v>98</v>
      </c>
      <c r="F21" s="7">
        <v>7.51</v>
      </c>
      <c r="G21" s="7">
        <v>9.6</v>
      </c>
      <c r="H21" s="7">
        <v>19.5</v>
      </c>
      <c r="I21" s="23">
        <f t="shared" si="0"/>
        <v>134.61000000000001</v>
      </c>
      <c r="J21" s="12">
        <f t="shared" si="1"/>
        <v>4845.9600000000009</v>
      </c>
      <c r="K21" s="138"/>
      <c r="L21" s="42">
        <v>36</v>
      </c>
      <c r="M21" s="47">
        <f t="shared" si="6"/>
        <v>1500</v>
      </c>
      <c r="N21" s="48">
        <f t="shared" si="7"/>
        <v>2100</v>
      </c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9"/>
      <c r="AA21" s="138"/>
    </row>
    <row r="22" spans="1:27" x14ac:dyDescent="0.25">
      <c r="A22" s="33">
        <v>38</v>
      </c>
      <c r="B22" s="29">
        <v>1250</v>
      </c>
      <c r="C22" s="135"/>
      <c r="D22" s="33">
        <v>38</v>
      </c>
      <c r="E22" s="52">
        <v>98</v>
      </c>
      <c r="F22" s="7">
        <v>7.51</v>
      </c>
      <c r="G22" s="7">
        <v>9.6</v>
      </c>
      <c r="H22" s="7">
        <v>19.5</v>
      </c>
      <c r="I22" s="23">
        <f t="shared" si="0"/>
        <v>134.61000000000001</v>
      </c>
      <c r="J22" s="12">
        <f t="shared" si="1"/>
        <v>5115.18</v>
      </c>
      <c r="K22" s="138"/>
      <c r="L22" s="42">
        <v>38</v>
      </c>
      <c r="M22" s="47">
        <f t="shared" si="6"/>
        <v>1500</v>
      </c>
      <c r="N22" s="48">
        <f t="shared" si="7"/>
        <v>2100</v>
      </c>
      <c r="O22" s="193"/>
      <c r="P22" s="193"/>
      <c r="Q22" s="193"/>
      <c r="R22" s="193"/>
      <c r="S22" s="193"/>
      <c r="T22" s="193"/>
      <c r="U22" s="193"/>
      <c r="V22" s="193"/>
      <c r="W22" s="193"/>
      <c r="X22" s="193"/>
      <c r="Y22" s="193"/>
      <c r="Z22" s="199"/>
      <c r="AA22" s="138"/>
    </row>
    <row r="23" spans="1:27" x14ac:dyDescent="0.25">
      <c r="A23" s="34">
        <v>41</v>
      </c>
      <c r="B23" s="29">
        <v>1250</v>
      </c>
      <c r="C23" s="135"/>
      <c r="D23" s="34">
        <v>41</v>
      </c>
      <c r="E23" s="52">
        <v>98</v>
      </c>
      <c r="F23" s="7">
        <v>7.51</v>
      </c>
      <c r="G23" s="7">
        <v>9.6</v>
      </c>
      <c r="H23" s="7">
        <v>19.5</v>
      </c>
      <c r="I23" s="23">
        <f t="shared" si="0"/>
        <v>134.61000000000001</v>
      </c>
      <c r="J23" s="12">
        <f t="shared" si="1"/>
        <v>5519.01</v>
      </c>
      <c r="K23" s="138"/>
      <c r="L23" s="43">
        <v>41</v>
      </c>
      <c r="M23" s="47">
        <f t="shared" si="6"/>
        <v>1500</v>
      </c>
      <c r="N23" s="48">
        <f t="shared" si="7"/>
        <v>2100</v>
      </c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9"/>
      <c r="AA23" s="138"/>
    </row>
    <row r="24" spans="1:27" x14ac:dyDescent="0.25">
      <c r="A24" s="34">
        <v>44</v>
      </c>
      <c r="B24" s="29">
        <v>1250</v>
      </c>
      <c r="C24" s="135"/>
      <c r="D24" s="34">
        <v>44</v>
      </c>
      <c r="E24" s="52">
        <v>98</v>
      </c>
      <c r="F24" s="7">
        <v>7.51</v>
      </c>
      <c r="G24" s="7">
        <v>9.6</v>
      </c>
      <c r="H24" s="7">
        <v>19.5</v>
      </c>
      <c r="I24" s="23">
        <f t="shared" si="0"/>
        <v>134.61000000000001</v>
      </c>
      <c r="J24" s="12">
        <f t="shared" si="1"/>
        <v>5922.84</v>
      </c>
      <c r="K24" s="138"/>
      <c r="L24" s="43">
        <v>44</v>
      </c>
      <c r="M24" s="47">
        <f t="shared" si="6"/>
        <v>1500</v>
      </c>
      <c r="N24" s="48">
        <f t="shared" si="7"/>
        <v>2100</v>
      </c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9"/>
      <c r="AA24" s="138"/>
    </row>
    <row r="25" spans="1:27" x14ac:dyDescent="0.25">
      <c r="A25" s="34">
        <v>46</v>
      </c>
      <c r="B25" s="29">
        <v>1650</v>
      </c>
      <c r="C25" s="135"/>
      <c r="D25" s="34">
        <v>46</v>
      </c>
      <c r="E25" s="52">
        <v>98</v>
      </c>
      <c r="F25" s="7">
        <v>7.51</v>
      </c>
      <c r="G25" s="7">
        <v>9.6</v>
      </c>
      <c r="H25" s="7">
        <v>19.5</v>
      </c>
      <c r="I25" s="23">
        <f t="shared" si="0"/>
        <v>134.61000000000001</v>
      </c>
      <c r="J25" s="12">
        <f t="shared" si="1"/>
        <v>6192.06</v>
      </c>
      <c r="K25" s="138"/>
      <c r="L25" s="43">
        <v>46</v>
      </c>
      <c r="M25" s="47">
        <f t="shared" si="6"/>
        <v>1500</v>
      </c>
      <c r="N25" s="48">
        <f t="shared" si="7"/>
        <v>2100</v>
      </c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200"/>
      <c r="AA25" s="182"/>
    </row>
    <row r="26" spans="1:27" x14ac:dyDescent="0.25">
      <c r="A26" s="34">
        <v>48</v>
      </c>
      <c r="B26" s="29">
        <v>1650</v>
      </c>
      <c r="C26" s="135"/>
      <c r="D26" s="34">
        <v>48</v>
      </c>
      <c r="E26" s="52">
        <v>98</v>
      </c>
      <c r="F26" s="7">
        <v>7.51</v>
      </c>
      <c r="G26" s="7">
        <v>9.6</v>
      </c>
      <c r="H26" s="7">
        <v>19.5</v>
      </c>
      <c r="I26" s="23">
        <f t="shared" si="0"/>
        <v>134.61000000000001</v>
      </c>
      <c r="J26" s="12">
        <f t="shared" si="1"/>
        <v>6461.2800000000007</v>
      </c>
      <c r="K26" s="138"/>
      <c r="L26" s="43">
        <v>48</v>
      </c>
      <c r="M26" s="47">
        <f>330*5</f>
        <v>1650</v>
      </c>
      <c r="N26" s="48">
        <f>330*7</f>
        <v>2310</v>
      </c>
      <c r="O26" s="202" t="s">
        <v>43</v>
      </c>
      <c r="P26" s="202" t="s">
        <v>43</v>
      </c>
      <c r="Q26" s="202" t="s">
        <v>43</v>
      </c>
      <c r="R26" s="202" t="s">
        <v>43</v>
      </c>
      <c r="S26" s="202" t="s">
        <v>43</v>
      </c>
      <c r="T26" s="202" t="s">
        <v>43</v>
      </c>
      <c r="U26" s="202" t="s">
        <v>43</v>
      </c>
      <c r="V26" s="202" t="s">
        <v>43</v>
      </c>
      <c r="W26" s="202" t="s">
        <v>43</v>
      </c>
      <c r="X26" s="202" t="s">
        <v>43</v>
      </c>
      <c r="Y26" s="202" t="s">
        <v>43</v>
      </c>
      <c r="Z26" s="205" t="s">
        <v>43</v>
      </c>
      <c r="AA26" s="201" t="s">
        <v>43</v>
      </c>
    </row>
    <row r="27" spans="1:27" x14ac:dyDescent="0.25">
      <c r="A27" s="34">
        <v>52</v>
      </c>
      <c r="B27" s="29">
        <v>1650</v>
      </c>
      <c r="C27" s="135"/>
      <c r="D27" s="34">
        <v>52</v>
      </c>
      <c r="E27" s="52">
        <v>98</v>
      </c>
      <c r="F27" s="7">
        <v>7.51</v>
      </c>
      <c r="G27" s="7">
        <v>9.6</v>
      </c>
      <c r="H27" s="7">
        <v>19.5</v>
      </c>
      <c r="I27" s="23">
        <f t="shared" si="0"/>
        <v>134.61000000000001</v>
      </c>
      <c r="J27" s="12">
        <f t="shared" si="1"/>
        <v>6999.7200000000012</v>
      </c>
      <c r="K27" s="138"/>
      <c r="L27" s="43">
        <v>52</v>
      </c>
      <c r="M27" s="47">
        <f t="shared" ref="M27:M29" si="8">330*5</f>
        <v>1650</v>
      </c>
      <c r="N27" s="48">
        <f t="shared" ref="N27:N29" si="9">330*7</f>
        <v>2310</v>
      </c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6"/>
      <c r="AA27" s="138"/>
    </row>
    <row r="28" spans="1:27" x14ac:dyDescent="0.25">
      <c r="A28" s="34">
        <v>57</v>
      </c>
      <c r="B28" s="29">
        <v>1650</v>
      </c>
      <c r="C28" s="135"/>
      <c r="D28" s="34">
        <v>57</v>
      </c>
      <c r="E28" s="52">
        <v>98</v>
      </c>
      <c r="F28" s="7">
        <v>7.51</v>
      </c>
      <c r="G28" s="7">
        <v>9.6</v>
      </c>
      <c r="H28" s="7">
        <v>19.5</v>
      </c>
      <c r="I28" s="23">
        <f t="shared" si="0"/>
        <v>134.61000000000001</v>
      </c>
      <c r="J28" s="12">
        <f t="shared" si="1"/>
        <v>7672.77</v>
      </c>
      <c r="K28" s="138"/>
      <c r="L28" s="43">
        <v>57</v>
      </c>
      <c r="M28" s="47">
        <f t="shared" si="8"/>
        <v>1650</v>
      </c>
      <c r="N28" s="48">
        <f t="shared" si="9"/>
        <v>2310</v>
      </c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6"/>
      <c r="AA28" s="138"/>
    </row>
    <row r="29" spans="1:27" ht="15.75" thickBot="1" x14ac:dyDescent="0.3">
      <c r="A29" s="35">
        <v>59</v>
      </c>
      <c r="B29" s="30">
        <v>1650</v>
      </c>
      <c r="C29" s="136"/>
      <c r="D29" s="35">
        <v>59</v>
      </c>
      <c r="E29" s="53">
        <v>98</v>
      </c>
      <c r="F29" s="9">
        <v>7.51</v>
      </c>
      <c r="G29" s="9">
        <v>9.6</v>
      </c>
      <c r="H29" s="9">
        <v>19.5</v>
      </c>
      <c r="I29" s="24">
        <f t="shared" si="0"/>
        <v>134.61000000000001</v>
      </c>
      <c r="J29" s="13">
        <f t="shared" si="1"/>
        <v>7941.9900000000007</v>
      </c>
      <c r="K29" s="139"/>
      <c r="L29" s="44">
        <v>59</v>
      </c>
      <c r="M29" s="49">
        <f t="shared" si="8"/>
        <v>1650</v>
      </c>
      <c r="N29" s="50">
        <f t="shared" si="9"/>
        <v>2310</v>
      </c>
      <c r="O29" s="204"/>
      <c r="P29" s="204"/>
      <c r="Q29" s="204"/>
      <c r="R29" s="204"/>
      <c r="S29" s="204"/>
      <c r="T29" s="204"/>
      <c r="U29" s="204"/>
      <c r="V29" s="204"/>
      <c r="W29" s="204"/>
      <c r="X29" s="204"/>
      <c r="Y29" s="204"/>
      <c r="Z29" s="207"/>
      <c r="AA29" s="139"/>
    </row>
    <row r="30" spans="1:27" ht="15.75" thickBot="1" x14ac:dyDescent="0.3">
      <c r="A30" s="17"/>
      <c r="B30" s="2"/>
      <c r="C30" s="18"/>
      <c r="D30" s="17"/>
      <c r="E30" s="2"/>
      <c r="F30" s="2"/>
      <c r="G30" s="2"/>
      <c r="H30" s="2"/>
      <c r="I30" s="2"/>
      <c r="J30" s="2"/>
      <c r="K30" s="18"/>
      <c r="L30" s="140" t="s">
        <v>103</v>
      </c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208"/>
    </row>
    <row r="31" spans="1:27" x14ac:dyDescent="0.25">
      <c r="A31" s="17"/>
      <c r="B31" s="2"/>
      <c r="C31" s="18"/>
      <c r="D31" s="17"/>
      <c r="E31" s="2"/>
      <c r="F31" s="19"/>
      <c r="G31" s="19"/>
      <c r="H31" s="19"/>
      <c r="I31" s="20"/>
      <c r="J31" s="2"/>
      <c r="K31" s="18"/>
      <c r="L31" s="17"/>
      <c r="M31" s="17"/>
      <c r="N31" s="17"/>
    </row>
    <row r="32" spans="1:27" ht="23.25" x14ac:dyDescent="0.35">
      <c r="A32" s="144" t="s">
        <v>19</v>
      </c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</row>
    <row r="33" spans="1:14" ht="15" customHeight="1" x14ac:dyDescent="0.3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ht="15.75" x14ac:dyDescent="0.25">
      <c r="A34" s="37" t="s">
        <v>18</v>
      </c>
      <c r="B34" s="5"/>
      <c r="C34" s="5"/>
      <c r="D34" s="5"/>
      <c r="E34" s="5"/>
      <c r="F34" s="6"/>
      <c r="G34" s="6"/>
      <c r="H34" s="38" t="s">
        <v>31</v>
      </c>
      <c r="I34" s="6"/>
      <c r="J34" s="6"/>
      <c r="K34" s="6"/>
      <c r="L34" s="6"/>
      <c r="M34" s="6"/>
      <c r="N34" s="6"/>
    </row>
    <row r="35" spans="1:14" x14ac:dyDescent="0.25">
      <c r="A35" s="4" t="s">
        <v>16</v>
      </c>
      <c r="B35" s="5"/>
      <c r="C35" s="5"/>
      <c r="D35" s="5"/>
      <c r="E35" s="5"/>
      <c r="F35" s="6"/>
      <c r="G35" s="6"/>
      <c r="H35" t="s">
        <v>33</v>
      </c>
      <c r="I35" s="6"/>
      <c r="J35" s="6"/>
      <c r="K35" s="6"/>
      <c r="L35" s="6"/>
      <c r="M35" s="6"/>
      <c r="N35" s="6"/>
    </row>
    <row r="36" spans="1:14" x14ac:dyDescent="0.25">
      <c r="A36" s="4" t="s">
        <v>69</v>
      </c>
      <c r="H36" s="1" t="s">
        <v>2</v>
      </c>
      <c r="J36" s="3"/>
    </row>
    <row r="37" spans="1:14" x14ac:dyDescent="0.25">
      <c r="A37" s="4" t="s">
        <v>70</v>
      </c>
      <c r="H37" s="1" t="s">
        <v>58</v>
      </c>
      <c r="J37" s="3"/>
    </row>
    <row r="38" spans="1:14" x14ac:dyDescent="0.25">
      <c r="A38" s="4" t="s">
        <v>41</v>
      </c>
      <c r="H38" s="1" t="s">
        <v>59</v>
      </c>
      <c r="J38" s="3"/>
    </row>
    <row r="39" spans="1:14" x14ac:dyDescent="0.25">
      <c r="A39" s="4" t="s">
        <v>65</v>
      </c>
      <c r="H39" s="1" t="s">
        <v>60</v>
      </c>
      <c r="J39" s="3"/>
    </row>
    <row r="40" spans="1:14" x14ac:dyDescent="0.25">
      <c r="A40" s="4"/>
      <c r="H40" t="s">
        <v>61</v>
      </c>
      <c r="J40" s="3"/>
    </row>
    <row r="41" spans="1:14" ht="15.75" x14ac:dyDescent="0.25">
      <c r="A41" s="39" t="s">
        <v>20</v>
      </c>
      <c r="H41" t="s">
        <v>3</v>
      </c>
      <c r="I41" s="2"/>
      <c r="J41" s="2"/>
    </row>
    <row r="42" spans="1:14" x14ac:dyDescent="0.25">
      <c r="A42" s="4" t="s">
        <v>22</v>
      </c>
      <c r="H42" t="s">
        <v>4</v>
      </c>
      <c r="I42" s="2"/>
      <c r="J42" s="2"/>
    </row>
    <row r="43" spans="1:14" x14ac:dyDescent="0.25">
      <c r="A43" s="4" t="s">
        <v>23</v>
      </c>
      <c r="H43" t="s">
        <v>66</v>
      </c>
    </row>
    <row r="44" spans="1:14" x14ac:dyDescent="0.25">
      <c r="A44" s="4" t="s">
        <v>102</v>
      </c>
    </row>
    <row r="45" spans="1:14" ht="15.75" x14ac:dyDescent="0.25">
      <c r="A45" s="4" t="s">
        <v>21</v>
      </c>
      <c r="H45" s="38" t="s">
        <v>24</v>
      </c>
    </row>
    <row r="46" spans="1:14" x14ac:dyDescent="0.25">
      <c r="A46" s="4" t="s">
        <v>32</v>
      </c>
      <c r="H46" t="s">
        <v>25</v>
      </c>
      <c r="I46" s="2"/>
      <c r="J46" s="2"/>
    </row>
    <row r="47" spans="1:14" x14ac:dyDescent="0.25">
      <c r="A47" s="4" t="s">
        <v>37</v>
      </c>
      <c r="H47" t="s">
        <v>27</v>
      </c>
      <c r="I47" s="2"/>
      <c r="J47" s="2"/>
    </row>
    <row r="48" spans="1:14" x14ac:dyDescent="0.25">
      <c r="A48" s="4" t="s">
        <v>42</v>
      </c>
      <c r="H48" t="s">
        <v>64</v>
      </c>
      <c r="I48" s="2"/>
      <c r="J48" s="2"/>
    </row>
    <row r="49" spans="1:14" x14ac:dyDescent="0.25">
      <c r="A49" s="4" t="s">
        <v>35</v>
      </c>
      <c r="H49" t="s">
        <v>28</v>
      </c>
      <c r="I49" s="2"/>
      <c r="J49" s="2"/>
    </row>
    <row r="50" spans="1:14" x14ac:dyDescent="0.25">
      <c r="A50" s="4" t="s">
        <v>62</v>
      </c>
      <c r="H50" t="s">
        <v>39</v>
      </c>
      <c r="I50" s="2"/>
      <c r="J50" s="2"/>
    </row>
    <row r="51" spans="1:14" x14ac:dyDescent="0.25">
      <c r="A51" s="4" t="s">
        <v>63</v>
      </c>
    </row>
    <row r="52" spans="1:14" x14ac:dyDescent="0.25">
      <c r="A52" s="4" t="s">
        <v>65</v>
      </c>
    </row>
    <row r="53" spans="1:14" x14ac:dyDescent="0.25">
      <c r="A53" s="4"/>
    </row>
    <row r="54" spans="1:14" x14ac:dyDescent="0.25">
      <c r="A54" s="209" t="s">
        <v>26</v>
      </c>
      <c r="B54" s="209"/>
      <c r="C54" s="209"/>
      <c r="D54" s="209"/>
      <c r="E54" s="209"/>
      <c r="F54" s="209"/>
      <c r="G54" s="209"/>
      <c r="H54" s="209"/>
      <c r="I54" s="209"/>
      <c r="J54" s="209"/>
      <c r="K54" s="209"/>
      <c r="L54" s="209"/>
      <c r="M54" s="209"/>
      <c r="N54" s="209"/>
    </row>
    <row r="55" spans="1:14" x14ac:dyDescent="0.25">
      <c r="A55" s="210" t="s">
        <v>34</v>
      </c>
      <c r="B55" s="210"/>
      <c r="C55" s="210"/>
      <c r="D55" s="210"/>
      <c r="E55" s="210"/>
      <c r="F55" s="210"/>
      <c r="G55" s="210"/>
      <c r="H55" s="210"/>
      <c r="I55" s="210"/>
      <c r="J55" s="210"/>
      <c r="K55" s="210"/>
      <c r="L55" s="210"/>
      <c r="M55" s="210"/>
      <c r="N55" s="210"/>
    </row>
    <row r="56" spans="1:14" x14ac:dyDescent="0.25"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</row>
    <row r="62" spans="1:14" x14ac:dyDescent="0.25">
      <c r="A62" s="1"/>
    </row>
    <row r="63" spans="1:14" x14ac:dyDescent="0.25">
      <c r="A63" s="1"/>
    </row>
    <row r="64" spans="1:14" x14ac:dyDescent="0.25">
      <c r="A64" s="1"/>
    </row>
    <row r="65" spans="1:1" x14ac:dyDescent="0.25">
      <c r="A65" s="4"/>
    </row>
  </sheetData>
  <mergeCells count="64">
    <mergeCell ref="A32:N32"/>
    <mergeCell ref="A54:N54"/>
    <mergeCell ref="A55:N55"/>
    <mergeCell ref="W26:W29"/>
    <mergeCell ref="X26:X29"/>
    <mergeCell ref="Y26:Y29"/>
    <mergeCell ref="Z26:Z29"/>
    <mergeCell ref="AA26:AA29"/>
    <mergeCell ref="L30:AA30"/>
    <mergeCell ref="Z19:Z25"/>
    <mergeCell ref="AA19:AA25"/>
    <mergeCell ref="O26:O29"/>
    <mergeCell ref="P26:P29"/>
    <mergeCell ref="Q26:Q29"/>
    <mergeCell ref="R26:R29"/>
    <mergeCell ref="S26:S29"/>
    <mergeCell ref="T26:T29"/>
    <mergeCell ref="U26:U29"/>
    <mergeCell ref="V26:V29"/>
    <mergeCell ref="T19:T25"/>
    <mergeCell ref="U19:U25"/>
    <mergeCell ref="X19:X25"/>
    <mergeCell ref="Y19:Y25"/>
    <mergeCell ref="W16:W18"/>
    <mergeCell ref="X16:X18"/>
    <mergeCell ref="Y16:Y18"/>
    <mergeCell ref="Z16:Z18"/>
    <mergeCell ref="AA16:AA18"/>
    <mergeCell ref="C19:C29"/>
    <mergeCell ref="O19:O25"/>
    <mergeCell ref="P19:P25"/>
    <mergeCell ref="Q19:Q25"/>
    <mergeCell ref="R19:R25"/>
    <mergeCell ref="K9:K29"/>
    <mergeCell ref="O9:O15"/>
    <mergeCell ref="P9:P15"/>
    <mergeCell ref="Q9:Q15"/>
    <mergeCell ref="R9:R15"/>
    <mergeCell ref="S9:S15"/>
    <mergeCell ref="S19:S25"/>
    <mergeCell ref="V19:V25"/>
    <mergeCell ref="W19:W25"/>
    <mergeCell ref="Z9:Z15"/>
    <mergeCell ref="AA9:AA15"/>
    <mergeCell ref="O16:O18"/>
    <mergeCell ref="P16:P18"/>
    <mergeCell ref="Q16:Q18"/>
    <mergeCell ref="R16:R18"/>
    <mergeCell ref="S16:S18"/>
    <mergeCell ref="T16:T18"/>
    <mergeCell ref="U16:U18"/>
    <mergeCell ref="V16:V18"/>
    <mergeCell ref="T9:T15"/>
    <mergeCell ref="U9:U15"/>
    <mergeCell ref="V9:V15"/>
    <mergeCell ref="W9:W15"/>
    <mergeCell ref="X9:X15"/>
    <mergeCell ref="Y9:Y15"/>
    <mergeCell ref="A1:N6"/>
    <mergeCell ref="O1:AA6"/>
    <mergeCell ref="A7:B7"/>
    <mergeCell ref="D7:J7"/>
    <mergeCell ref="L7:N7"/>
    <mergeCell ref="O7:AA7"/>
  </mergeCells>
  <pageMargins left="0.7" right="0.7" top="0.75" bottom="0.75" header="0.3" footer="0.3"/>
  <pageSetup scale="38" orientation="landscape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10D33-E07C-4AF3-895E-38627E25E9D0}">
  <sheetPr>
    <pageSetUpPr fitToPage="1"/>
  </sheetPr>
  <dimension ref="A1:Z62"/>
  <sheetViews>
    <sheetView workbookViewId="0">
      <selection activeCell="B25" sqref="B25"/>
    </sheetView>
  </sheetViews>
  <sheetFormatPr defaultRowHeight="15" x14ac:dyDescent="0.25"/>
  <cols>
    <col min="2" max="2" width="16.5703125" customWidth="1"/>
    <col min="3" max="3" width="21" bestFit="1" customWidth="1"/>
    <col min="4" max="4" width="13.5703125" bestFit="1" customWidth="1"/>
    <col min="5" max="5" width="9" bestFit="1" customWidth="1"/>
    <col min="6" max="6" width="8" bestFit="1" customWidth="1"/>
    <col min="7" max="7" width="10" bestFit="1" customWidth="1"/>
    <col min="8" max="8" width="11.28515625" bestFit="1" customWidth="1"/>
    <col min="9" max="9" width="10.42578125" customWidth="1"/>
    <col min="10" max="10" width="12.7109375" customWidth="1"/>
    <col min="11" max="11" width="15.140625" customWidth="1"/>
    <col min="12" max="12" width="10.42578125" customWidth="1"/>
    <col min="13" max="13" width="13.42578125" customWidth="1"/>
    <col min="14" max="14" width="11" bestFit="1" customWidth="1"/>
    <col min="15" max="15" width="14.5703125" bestFit="1" customWidth="1"/>
    <col min="16" max="16" width="10.140625" bestFit="1" customWidth="1"/>
    <col min="17" max="17" width="13.5703125" bestFit="1" customWidth="1"/>
    <col min="18" max="18" width="13.7109375" bestFit="1" customWidth="1"/>
    <col min="19" max="19" width="19.140625" bestFit="1" customWidth="1"/>
    <col min="20" max="20" width="11.85546875" bestFit="1" customWidth="1"/>
    <col min="21" max="21" width="10.28515625" bestFit="1" customWidth="1"/>
    <col min="22" max="22" width="11.7109375" bestFit="1" customWidth="1"/>
    <col min="23" max="23" width="16" bestFit="1" customWidth="1"/>
    <col min="24" max="24" width="10.140625" bestFit="1" customWidth="1"/>
    <col min="25" max="25" width="15.5703125" bestFit="1" customWidth="1"/>
    <col min="26" max="26" width="17.5703125" bestFit="1" customWidth="1"/>
  </cols>
  <sheetData>
    <row r="1" spans="1:26" ht="15" customHeight="1" x14ac:dyDescent="0.25">
      <c r="A1" s="145" t="s">
        <v>101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7"/>
    </row>
    <row r="2" spans="1:26" ht="15" customHeight="1" x14ac:dyDescent="0.25">
      <c r="A2" s="148"/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50"/>
    </row>
    <row r="3" spans="1:26" ht="15" customHeight="1" x14ac:dyDescent="0.25">
      <c r="A3" s="148"/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50"/>
    </row>
    <row r="4" spans="1:26" ht="15" customHeight="1" x14ac:dyDescent="0.25">
      <c r="A4" s="148"/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50"/>
    </row>
    <row r="5" spans="1:26" ht="15" customHeight="1" x14ac:dyDescent="0.25">
      <c r="A5" s="148"/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50"/>
    </row>
    <row r="6" spans="1:26" ht="15.75" customHeight="1" thickBot="1" x14ac:dyDescent="0.3">
      <c r="A6" s="151"/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3"/>
    </row>
    <row r="7" spans="1:26" ht="15.75" thickBot="1" x14ac:dyDescent="0.3">
      <c r="A7" s="163" t="s">
        <v>17</v>
      </c>
      <c r="B7" s="164"/>
      <c r="C7" s="14" t="s">
        <v>30</v>
      </c>
      <c r="D7" s="163" t="s">
        <v>10</v>
      </c>
      <c r="E7" s="165"/>
      <c r="F7" s="165"/>
      <c r="G7" s="165"/>
      <c r="H7" s="165"/>
      <c r="I7" s="165"/>
      <c r="J7" s="164"/>
      <c r="K7" s="15" t="s">
        <v>29</v>
      </c>
      <c r="L7" s="163" t="s">
        <v>100</v>
      </c>
      <c r="M7" s="165"/>
      <c r="N7" s="164"/>
      <c r="O7" s="166" t="s">
        <v>36</v>
      </c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8"/>
    </row>
    <row r="8" spans="1:26" s="1" customFormat="1" ht="30.75" thickBot="1" x14ac:dyDescent="0.3">
      <c r="A8" s="98" t="s">
        <v>97</v>
      </c>
      <c r="B8" s="10" t="s">
        <v>9</v>
      </c>
      <c r="C8" s="99" t="s">
        <v>11</v>
      </c>
      <c r="D8" s="98" t="s">
        <v>99</v>
      </c>
      <c r="E8" s="102" t="s">
        <v>0</v>
      </c>
      <c r="F8" s="102" t="s">
        <v>5</v>
      </c>
      <c r="G8" s="102" t="s">
        <v>6</v>
      </c>
      <c r="H8" s="102" t="s">
        <v>7</v>
      </c>
      <c r="I8" s="101" t="s">
        <v>8</v>
      </c>
      <c r="J8" s="100" t="s">
        <v>13</v>
      </c>
      <c r="K8" s="99" t="s">
        <v>98</v>
      </c>
      <c r="L8" s="98" t="s">
        <v>97</v>
      </c>
      <c r="M8" s="97" t="s">
        <v>14</v>
      </c>
      <c r="N8" s="96" t="s">
        <v>15</v>
      </c>
      <c r="O8" s="95" t="s">
        <v>96</v>
      </c>
      <c r="P8" s="94" t="s">
        <v>95</v>
      </c>
      <c r="Q8" s="93" t="s">
        <v>94</v>
      </c>
      <c r="R8" s="93" t="s">
        <v>93</v>
      </c>
      <c r="S8" s="93" t="s">
        <v>92</v>
      </c>
      <c r="T8" s="93" t="s">
        <v>91</v>
      </c>
      <c r="U8" s="93" t="s">
        <v>90</v>
      </c>
      <c r="V8" s="93" t="s">
        <v>89</v>
      </c>
      <c r="W8" s="93" t="s">
        <v>88</v>
      </c>
      <c r="X8" s="93" t="s">
        <v>87</v>
      </c>
      <c r="Y8" s="93" t="s">
        <v>86</v>
      </c>
      <c r="Z8" s="93" t="s">
        <v>85</v>
      </c>
    </row>
    <row r="9" spans="1:26" ht="15" customHeight="1" x14ac:dyDescent="0.25">
      <c r="A9" s="91">
        <v>10</v>
      </c>
      <c r="B9" s="85">
        <v>795</v>
      </c>
      <c r="C9" s="92" t="s">
        <v>1</v>
      </c>
      <c r="D9" s="91">
        <v>10</v>
      </c>
      <c r="E9" s="8">
        <v>100</v>
      </c>
      <c r="F9" s="25">
        <v>10.68</v>
      </c>
      <c r="G9" s="8">
        <v>3.23</v>
      </c>
      <c r="H9" s="8">
        <v>19.5</v>
      </c>
      <c r="I9" s="22">
        <f t="shared" ref="I9:I29" si="0">SUM(E9:H9)</f>
        <v>133.41000000000003</v>
      </c>
      <c r="J9" s="11">
        <f t="shared" ref="J9:J29" si="1">I9*D9</f>
        <v>1334.1000000000004</v>
      </c>
      <c r="K9" s="92" t="s">
        <v>1</v>
      </c>
      <c r="L9" s="91">
        <v>10</v>
      </c>
      <c r="M9" s="79">
        <f t="shared" ref="M9:M15" si="2">150*5</f>
        <v>750</v>
      </c>
      <c r="N9" s="90">
        <f t="shared" ref="N9:N15" si="3">150*7</f>
        <v>1050</v>
      </c>
      <c r="O9" s="230" t="s">
        <v>84</v>
      </c>
      <c r="P9" s="231"/>
      <c r="Q9" s="231"/>
      <c r="R9" s="231"/>
      <c r="S9" s="231"/>
      <c r="T9" s="231"/>
      <c r="U9" s="231"/>
      <c r="V9" s="231"/>
      <c r="W9" s="231"/>
      <c r="X9" s="231"/>
      <c r="Y9" s="231"/>
      <c r="Z9" s="232"/>
    </row>
    <row r="10" spans="1:26" ht="15" customHeight="1" thickBot="1" x14ac:dyDescent="0.3">
      <c r="A10" s="83">
        <v>15</v>
      </c>
      <c r="B10" s="85">
        <v>795</v>
      </c>
      <c r="C10" s="84" t="s">
        <v>1</v>
      </c>
      <c r="D10" s="83">
        <v>15</v>
      </c>
      <c r="E10" s="7">
        <v>100</v>
      </c>
      <c r="F10" s="7">
        <v>10.68</v>
      </c>
      <c r="G10" s="7">
        <v>3.23</v>
      </c>
      <c r="H10" s="7">
        <v>19.5</v>
      </c>
      <c r="I10" s="23">
        <f t="shared" si="0"/>
        <v>133.41000000000003</v>
      </c>
      <c r="J10" s="12">
        <f t="shared" si="1"/>
        <v>2001.1500000000003</v>
      </c>
      <c r="K10" s="84" t="s">
        <v>1</v>
      </c>
      <c r="L10" s="83">
        <v>15</v>
      </c>
      <c r="M10" s="79">
        <f t="shared" si="2"/>
        <v>750</v>
      </c>
      <c r="N10" s="78">
        <f t="shared" si="3"/>
        <v>1050</v>
      </c>
      <c r="O10" s="233" t="s">
        <v>83</v>
      </c>
      <c r="P10" s="234"/>
      <c r="Q10" s="234"/>
      <c r="R10" s="234"/>
      <c r="S10" s="234"/>
      <c r="T10" s="234"/>
      <c r="U10" s="234"/>
      <c r="V10" s="234"/>
      <c r="W10" s="234"/>
      <c r="X10" s="234"/>
      <c r="Y10" s="234"/>
      <c r="Z10" s="235"/>
    </row>
    <row r="11" spans="1:26" ht="15" customHeight="1" x14ac:dyDescent="0.25">
      <c r="A11" s="83">
        <v>17</v>
      </c>
      <c r="B11" s="85">
        <v>795</v>
      </c>
      <c r="C11" s="84" t="s">
        <v>1</v>
      </c>
      <c r="D11" s="83">
        <v>17</v>
      </c>
      <c r="E11" s="7">
        <v>100</v>
      </c>
      <c r="F11" s="7">
        <v>10.68</v>
      </c>
      <c r="G11" s="7">
        <v>3.23</v>
      </c>
      <c r="H11" s="7">
        <v>19.5</v>
      </c>
      <c r="I11" s="23">
        <f t="shared" si="0"/>
        <v>133.41000000000003</v>
      </c>
      <c r="J11" s="12">
        <f t="shared" si="1"/>
        <v>2267.9700000000003</v>
      </c>
      <c r="K11" s="84" t="s">
        <v>1</v>
      </c>
      <c r="L11" s="83">
        <v>17</v>
      </c>
      <c r="M11" s="79">
        <f t="shared" si="2"/>
        <v>750</v>
      </c>
      <c r="N11" s="78">
        <f t="shared" si="3"/>
        <v>1050</v>
      </c>
      <c r="O11" s="226">
        <v>4700</v>
      </c>
      <c r="P11" s="226">
        <v>4700</v>
      </c>
      <c r="Q11" s="214">
        <v>4950</v>
      </c>
      <c r="R11" s="226">
        <v>4700</v>
      </c>
      <c r="S11" s="226">
        <v>4700</v>
      </c>
      <c r="T11" s="214">
        <v>4900</v>
      </c>
      <c r="U11" s="214">
        <v>4900</v>
      </c>
      <c r="V11" s="214">
        <v>4700</v>
      </c>
      <c r="W11" s="214">
        <v>4700</v>
      </c>
      <c r="X11" s="214">
        <v>5100</v>
      </c>
      <c r="Y11" s="226">
        <v>4700</v>
      </c>
      <c r="Z11" s="236">
        <v>5100</v>
      </c>
    </row>
    <row r="12" spans="1:26" ht="15" customHeight="1" x14ac:dyDescent="0.25">
      <c r="A12" s="83">
        <v>18</v>
      </c>
      <c r="B12" s="85">
        <v>795</v>
      </c>
      <c r="C12" s="84" t="s">
        <v>1</v>
      </c>
      <c r="D12" s="83">
        <v>18</v>
      </c>
      <c r="E12" s="7">
        <v>88</v>
      </c>
      <c r="F12" s="7">
        <v>10.68</v>
      </c>
      <c r="G12" s="7">
        <v>3.23</v>
      </c>
      <c r="H12" s="7">
        <v>19.5</v>
      </c>
      <c r="I12" s="23">
        <f t="shared" si="0"/>
        <v>121.41000000000001</v>
      </c>
      <c r="J12" s="12">
        <f t="shared" si="1"/>
        <v>2185.38</v>
      </c>
      <c r="K12" s="84" t="s">
        <v>1</v>
      </c>
      <c r="L12" s="83">
        <v>18</v>
      </c>
      <c r="M12" s="79">
        <f t="shared" si="2"/>
        <v>750</v>
      </c>
      <c r="N12" s="78">
        <f t="shared" si="3"/>
        <v>1050</v>
      </c>
      <c r="O12" s="227"/>
      <c r="P12" s="227"/>
      <c r="Q12" s="215"/>
      <c r="R12" s="227"/>
      <c r="S12" s="227"/>
      <c r="T12" s="215"/>
      <c r="U12" s="215"/>
      <c r="V12" s="215"/>
      <c r="W12" s="215"/>
      <c r="X12" s="215"/>
      <c r="Y12" s="227"/>
      <c r="Z12" s="237"/>
    </row>
    <row r="13" spans="1:26" ht="15" customHeight="1" x14ac:dyDescent="0.25">
      <c r="A13" s="82">
        <v>20</v>
      </c>
      <c r="B13" s="85">
        <v>795</v>
      </c>
      <c r="C13" s="84" t="s">
        <v>1</v>
      </c>
      <c r="D13" s="82">
        <v>20</v>
      </c>
      <c r="E13" s="7">
        <v>88</v>
      </c>
      <c r="F13" s="7">
        <v>10.68</v>
      </c>
      <c r="G13" s="7">
        <v>3.23</v>
      </c>
      <c r="H13" s="7">
        <v>19.5</v>
      </c>
      <c r="I13" s="23">
        <f t="shared" si="0"/>
        <v>121.41000000000001</v>
      </c>
      <c r="J13" s="12">
        <f t="shared" si="1"/>
        <v>2428.2000000000003</v>
      </c>
      <c r="K13" s="84" t="s">
        <v>1</v>
      </c>
      <c r="L13" s="82">
        <v>20</v>
      </c>
      <c r="M13" s="79">
        <f t="shared" si="2"/>
        <v>750</v>
      </c>
      <c r="N13" s="78">
        <f t="shared" si="3"/>
        <v>1050</v>
      </c>
      <c r="O13" s="227"/>
      <c r="P13" s="227"/>
      <c r="Q13" s="215"/>
      <c r="R13" s="227"/>
      <c r="S13" s="227"/>
      <c r="T13" s="215"/>
      <c r="U13" s="215"/>
      <c r="V13" s="215"/>
      <c r="W13" s="215"/>
      <c r="X13" s="215"/>
      <c r="Y13" s="227"/>
      <c r="Z13" s="237"/>
    </row>
    <row r="14" spans="1:26" ht="15.75" customHeight="1" x14ac:dyDescent="0.25">
      <c r="A14" s="82">
        <v>22</v>
      </c>
      <c r="B14" s="85">
        <v>795</v>
      </c>
      <c r="C14" s="84" t="s">
        <v>1</v>
      </c>
      <c r="D14" s="82">
        <v>22</v>
      </c>
      <c r="E14" s="7">
        <v>88</v>
      </c>
      <c r="F14" s="7">
        <v>10.68</v>
      </c>
      <c r="G14" s="7">
        <v>3.23</v>
      </c>
      <c r="H14" s="7">
        <v>19.5</v>
      </c>
      <c r="I14" s="23">
        <f t="shared" si="0"/>
        <v>121.41000000000001</v>
      </c>
      <c r="J14" s="12">
        <f t="shared" si="1"/>
        <v>2671.0200000000004</v>
      </c>
      <c r="K14" s="84" t="s">
        <v>1</v>
      </c>
      <c r="L14" s="82">
        <v>22</v>
      </c>
      <c r="M14" s="79">
        <f t="shared" si="2"/>
        <v>750</v>
      </c>
      <c r="N14" s="78">
        <f t="shared" si="3"/>
        <v>1050</v>
      </c>
      <c r="O14" s="227"/>
      <c r="P14" s="227"/>
      <c r="Q14" s="215"/>
      <c r="R14" s="227"/>
      <c r="S14" s="227"/>
      <c r="T14" s="215"/>
      <c r="U14" s="215"/>
      <c r="V14" s="215"/>
      <c r="W14" s="215"/>
      <c r="X14" s="215"/>
      <c r="Y14" s="227"/>
      <c r="Z14" s="237"/>
    </row>
    <row r="15" spans="1:26" x14ac:dyDescent="0.25">
      <c r="A15" s="80">
        <v>24</v>
      </c>
      <c r="B15" s="85">
        <v>795</v>
      </c>
      <c r="C15" s="84" t="s">
        <v>1</v>
      </c>
      <c r="D15" s="80">
        <v>24</v>
      </c>
      <c r="E15" s="7">
        <v>88</v>
      </c>
      <c r="F15" s="7">
        <v>10.68</v>
      </c>
      <c r="G15" s="7">
        <v>3.23</v>
      </c>
      <c r="H15" s="7">
        <v>19.5</v>
      </c>
      <c r="I15" s="23">
        <f t="shared" si="0"/>
        <v>121.41000000000001</v>
      </c>
      <c r="J15" s="12">
        <f t="shared" si="1"/>
        <v>2913.84</v>
      </c>
      <c r="K15" s="84" t="s">
        <v>1</v>
      </c>
      <c r="L15" s="80">
        <v>24</v>
      </c>
      <c r="M15" s="79">
        <f t="shared" si="2"/>
        <v>750</v>
      </c>
      <c r="N15" s="78">
        <f t="shared" si="3"/>
        <v>1050</v>
      </c>
      <c r="O15" s="87">
        <v>7900</v>
      </c>
      <c r="P15" s="87">
        <v>7900</v>
      </c>
      <c r="Q15" s="89">
        <v>8100</v>
      </c>
      <c r="R15" s="87">
        <v>7900</v>
      </c>
      <c r="S15" s="87">
        <v>7900</v>
      </c>
      <c r="T15" s="89">
        <v>8400</v>
      </c>
      <c r="U15" s="88">
        <v>8400</v>
      </c>
      <c r="V15" s="88">
        <v>7400</v>
      </c>
      <c r="W15" s="88">
        <v>7400</v>
      </c>
      <c r="X15" s="88">
        <v>9000</v>
      </c>
      <c r="Y15" s="87">
        <v>7900</v>
      </c>
      <c r="Z15" s="86">
        <v>9400</v>
      </c>
    </row>
    <row r="16" spans="1:26" x14ac:dyDescent="0.25">
      <c r="A16" s="80">
        <v>26</v>
      </c>
      <c r="B16" s="85">
        <v>795</v>
      </c>
      <c r="C16" s="84" t="s">
        <v>1</v>
      </c>
      <c r="D16" s="80">
        <v>26</v>
      </c>
      <c r="E16" s="7">
        <v>88</v>
      </c>
      <c r="F16" s="7">
        <v>10.68</v>
      </c>
      <c r="G16" s="7">
        <v>3.23</v>
      </c>
      <c r="H16" s="7">
        <v>19.5</v>
      </c>
      <c r="I16" s="23">
        <f t="shared" si="0"/>
        <v>121.41000000000001</v>
      </c>
      <c r="J16" s="12">
        <f t="shared" si="1"/>
        <v>3156.6600000000003</v>
      </c>
      <c r="K16" s="228" t="s">
        <v>40</v>
      </c>
      <c r="L16" s="80">
        <v>26</v>
      </c>
      <c r="M16" s="79">
        <f>200*5</f>
        <v>1000</v>
      </c>
      <c r="N16" s="78">
        <f>200*7</f>
        <v>1400</v>
      </c>
      <c r="O16" s="75">
        <v>8350</v>
      </c>
      <c r="P16" s="75">
        <v>8350</v>
      </c>
      <c r="Q16" s="77">
        <v>8450</v>
      </c>
      <c r="R16" s="75">
        <v>8350</v>
      </c>
      <c r="S16" s="75">
        <v>8350</v>
      </c>
      <c r="T16" s="77">
        <v>9200</v>
      </c>
      <c r="U16" s="76">
        <v>9200</v>
      </c>
      <c r="V16" s="76">
        <v>7500</v>
      </c>
      <c r="W16" s="76">
        <v>7500</v>
      </c>
      <c r="X16" s="76">
        <v>10000</v>
      </c>
      <c r="Y16" s="75">
        <v>8350</v>
      </c>
      <c r="Z16" s="74">
        <v>10100</v>
      </c>
    </row>
    <row r="17" spans="1:26" x14ac:dyDescent="0.25">
      <c r="A17" s="83">
        <v>28</v>
      </c>
      <c r="B17" s="85">
        <v>795</v>
      </c>
      <c r="C17" s="84" t="s">
        <v>1</v>
      </c>
      <c r="D17" s="83">
        <v>28</v>
      </c>
      <c r="E17" s="7">
        <v>88</v>
      </c>
      <c r="F17" s="7">
        <v>10.68</v>
      </c>
      <c r="G17" s="7">
        <v>3.23</v>
      </c>
      <c r="H17" s="7">
        <v>19.5</v>
      </c>
      <c r="I17" s="23">
        <f t="shared" si="0"/>
        <v>121.41000000000001</v>
      </c>
      <c r="J17" s="12">
        <f t="shared" si="1"/>
        <v>3399.4800000000005</v>
      </c>
      <c r="K17" s="228"/>
      <c r="L17" s="83">
        <v>28</v>
      </c>
      <c r="M17" s="79">
        <f>200*5</f>
        <v>1000</v>
      </c>
      <c r="N17" s="78">
        <f>200*7</f>
        <v>1400</v>
      </c>
      <c r="O17" s="75">
        <v>8350</v>
      </c>
      <c r="P17" s="75">
        <v>8350</v>
      </c>
      <c r="Q17" s="77">
        <v>8450</v>
      </c>
      <c r="R17" s="75">
        <v>8350</v>
      </c>
      <c r="S17" s="75">
        <v>8350</v>
      </c>
      <c r="T17" s="77">
        <v>9200</v>
      </c>
      <c r="U17" s="76">
        <v>9200</v>
      </c>
      <c r="V17" s="76">
        <v>7500</v>
      </c>
      <c r="W17" s="76">
        <v>7500</v>
      </c>
      <c r="X17" s="76">
        <v>10000</v>
      </c>
      <c r="Y17" s="75">
        <v>8350</v>
      </c>
      <c r="Z17" s="74">
        <v>10100</v>
      </c>
    </row>
    <row r="18" spans="1:26" x14ac:dyDescent="0.25">
      <c r="A18" s="83">
        <v>30</v>
      </c>
      <c r="B18" s="81">
        <v>995</v>
      </c>
      <c r="C18" s="84" t="s">
        <v>1</v>
      </c>
      <c r="D18" s="83">
        <v>30</v>
      </c>
      <c r="E18" s="7">
        <v>88</v>
      </c>
      <c r="F18" s="7">
        <v>10.68</v>
      </c>
      <c r="G18" s="7">
        <v>3.23</v>
      </c>
      <c r="H18" s="7">
        <v>19.5</v>
      </c>
      <c r="I18" s="23">
        <f t="shared" si="0"/>
        <v>121.41000000000001</v>
      </c>
      <c r="J18" s="12">
        <f t="shared" si="1"/>
        <v>3642.3</v>
      </c>
      <c r="K18" s="228"/>
      <c r="L18" s="83">
        <v>30</v>
      </c>
      <c r="M18" s="79">
        <f>200*5</f>
        <v>1000</v>
      </c>
      <c r="N18" s="78">
        <f>200*7</f>
        <v>1400</v>
      </c>
      <c r="O18" s="75">
        <v>8350</v>
      </c>
      <c r="P18" s="75">
        <v>8350</v>
      </c>
      <c r="Q18" s="77">
        <v>8450</v>
      </c>
      <c r="R18" s="75">
        <v>8350</v>
      </c>
      <c r="S18" s="75">
        <v>8350</v>
      </c>
      <c r="T18" s="77">
        <v>9200</v>
      </c>
      <c r="U18" s="76">
        <v>9200</v>
      </c>
      <c r="V18" s="76">
        <v>7500</v>
      </c>
      <c r="W18" s="76">
        <v>7500</v>
      </c>
      <c r="X18" s="76">
        <v>10000</v>
      </c>
      <c r="Y18" s="75">
        <v>8350</v>
      </c>
      <c r="Z18" s="74">
        <v>10100</v>
      </c>
    </row>
    <row r="19" spans="1:26" x14ac:dyDescent="0.25">
      <c r="A19" s="83">
        <v>32</v>
      </c>
      <c r="B19" s="81">
        <v>995</v>
      </c>
      <c r="C19" s="228" t="s">
        <v>38</v>
      </c>
      <c r="D19" s="83">
        <v>32</v>
      </c>
      <c r="E19" s="7">
        <v>88</v>
      </c>
      <c r="F19" s="7">
        <v>10.68</v>
      </c>
      <c r="G19" s="7">
        <v>3.23</v>
      </c>
      <c r="H19" s="7">
        <v>19.5</v>
      </c>
      <c r="I19" s="23">
        <f t="shared" si="0"/>
        <v>121.41000000000001</v>
      </c>
      <c r="J19" s="12">
        <f t="shared" si="1"/>
        <v>3885.1200000000003</v>
      </c>
      <c r="K19" s="228"/>
      <c r="L19" s="83">
        <v>32</v>
      </c>
      <c r="M19" s="79">
        <f t="shared" ref="M19:M25" si="4">230*5</f>
        <v>1150</v>
      </c>
      <c r="N19" s="78">
        <f t="shared" ref="N19:N25" si="5">230*7</f>
        <v>1610</v>
      </c>
      <c r="O19" s="75">
        <v>9450</v>
      </c>
      <c r="P19" s="75">
        <v>9450</v>
      </c>
      <c r="Q19" s="77">
        <v>9500</v>
      </c>
      <c r="R19" s="75">
        <v>9450</v>
      </c>
      <c r="S19" s="75">
        <v>9450</v>
      </c>
      <c r="T19" s="77">
        <v>9750</v>
      </c>
      <c r="U19" s="76">
        <v>10000</v>
      </c>
      <c r="V19" s="76">
        <v>8500</v>
      </c>
      <c r="W19" s="76">
        <v>8500</v>
      </c>
      <c r="X19" s="76">
        <v>10600</v>
      </c>
      <c r="Y19" s="75">
        <v>9450</v>
      </c>
      <c r="Z19" s="74">
        <v>10875</v>
      </c>
    </row>
    <row r="20" spans="1:26" x14ac:dyDescent="0.25">
      <c r="A20" s="83">
        <v>34</v>
      </c>
      <c r="B20" s="81">
        <v>995</v>
      </c>
      <c r="C20" s="228"/>
      <c r="D20" s="83">
        <v>34</v>
      </c>
      <c r="E20" s="7">
        <v>88</v>
      </c>
      <c r="F20" s="7">
        <v>10.68</v>
      </c>
      <c r="G20" s="7">
        <v>3.23</v>
      </c>
      <c r="H20" s="7">
        <v>19.5</v>
      </c>
      <c r="I20" s="23">
        <f t="shared" si="0"/>
        <v>121.41000000000001</v>
      </c>
      <c r="J20" s="12">
        <f t="shared" si="1"/>
        <v>4127.9400000000005</v>
      </c>
      <c r="K20" s="228"/>
      <c r="L20" s="83">
        <v>34</v>
      </c>
      <c r="M20" s="79">
        <f t="shared" si="4"/>
        <v>1150</v>
      </c>
      <c r="N20" s="78">
        <f t="shared" si="5"/>
        <v>1610</v>
      </c>
      <c r="O20" s="75">
        <v>9450</v>
      </c>
      <c r="P20" s="75">
        <v>9450</v>
      </c>
      <c r="Q20" s="77">
        <v>9500</v>
      </c>
      <c r="R20" s="75">
        <v>9450</v>
      </c>
      <c r="S20" s="75">
        <v>9450</v>
      </c>
      <c r="T20" s="77">
        <v>9750</v>
      </c>
      <c r="U20" s="76">
        <v>10000</v>
      </c>
      <c r="V20" s="76">
        <v>8500</v>
      </c>
      <c r="W20" s="76">
        <v>8500</v>
      </c>
      <c r="X20" s="76">
        <v>10600</v>
      </c>
      <c r="Y20" s="75">
        <v>9450</v>
      </c>
      <c r="Z20" s="74">
        <v>10875</v>
      </c>
    </row>
    <row r="21" spans="1:26" x14ac:dyDescent="0.25">
      <c r="A21" s="82">
        <v>36</v>
      </c>
      <c r="B21" s="81">
        <v>1250</v>
      </c>
      <c r="C21" s="228"/>
      <c r="D21" s="82">
        <v>36</v>
      </c>
      <c r="E21" s="7">
        <v>88</v>
      </c>
      <c r="F21" s="7">
        <v>10.68</v>
      </c>
      <c r="G21" s="7">
        <v>3.23</v>
      </c>
      <c r="H21" s="7">
        <v>19.5</v>
      </c>
      <c r="I21" s="23">
        <f t="shared" si="0"/>
        <v>121.41000000000001</v>
      </c>
      <c r="J21" s="12">
        <f t="shared" si="1"/>
        <v>4370.76</v>
      </c>
      <c r="K21" s="228"/>
      <c r="L21" s="82">
        <v>36</v>
      </c>
      <c r="M21" s="79">
        <f t="shared" si="4"/>
        <v>1150</v>
      </c>
      <c r="N21" s="78">
        <f t="shared" si="5"/>
        <v>1610</v>
      </c>
      <c r="O21" s="75">
        <v>9450</v>
      </c>
      <c r="P21" s="75">
        <v>9450</v>
      </c>
      <c r="Q21" s="77">
        <v>9500</v>
      </c>
      <c r="R21" s="75">
        <v>9450</v>
      </c>
      <c r="S21" s="75">
        <v>9450</v>
      </c>
      <c r="T21" s="77">
        <v>9750</v>
      </c>
      <c r="U21" s="76">
        <v>10000</v>
      </c>
      <c r="V21" s="76">
        <v>8500</v>
      </c>
      <c r="W21" s="76">
        <v>8500</v>
      </c>
      <c r="X21" s="76">
        <v>10600</v>
      </c>
      <c r="Y21" s="75">
        <v>9450</v>
      </c>
      <c r="Z21" s="74">
        <v>10875</v>
      </c>
    </row>
    <row r="22" spans="1:26" x14ac:dyDescent="0.25">
      <c r="A22" s="82">
        <v>38</v>
      </c>
      <c r="B22" s="81">
        <v>1250</v>
      </c>
      <c r="C22" s="228"/>
      <c r="D22" s="82">
        <v>38</v>
      </c>
      <c r="E22" s="7">
        <v>88</v>
      </c>
      <c r="F22" s="7">
        <v>10.68</v>
      </c>
      <c r="G22" s="7">
        <v>3.23</v>
      </c>
      <c r="H22" s="7">
        <v>19.5</v>
      </c>
      <c r="I22" s="23">
        <f t="shared" si="0"/>
        <v>121.41000000000001</v>
      </c>
      <c r="J22" s="12">
        <f t="shared" si="1"/>
        <v>4613.5800000000008</v>
      </c>
      <c r="K22" s="228"/>
      <c r="L22" s="82">
        <v>38</v>
      </c>
      <c r="M22" s="79">
        <f t="shared" si="4"/>
        <v>1150</v>
      </c>
      <c r="N22" s="78">
        <f t="shared" si="5"/>
        <v>1610</v>
      </c>
      <c r="O22" s="75">
        <v>9450</v>
      </c>
      <c r="P22" s="75">
        <v>9450</v>
      </c>
      <c r="Q22" s="77">
        <v>9500</v>
      </c>
      <c r="R22" s="75">
        <v>9450</v>
      </c>
      <c r="S22" s="75">
        <v>9450</v>
      </c>
      <c r="T22" s="77">
        <v>9750</v>
      </c>
      <c r="U22" s="76">
        <v>10000</v>
      </c>
      <c r="V22" s="76">
        <v>8500</v>
      </c>
      <c r="W22" s="76">
        <v>8500</v>
      </c>
      <c r="X22" s="76">
        <v>10600</v>
      </c>
      <c r="Y22" s="75">
        <v>9450</v>
      </c>
      <c r="Z22" s="74">
        <v>10875</v>
      </c>
    </row>
    <row r="23" spans="1:26" x14ac:dyDescent="0.25">
      <c r="A23" s="80">
        <v>41</v>
      </c>
      <c r="B23" s="81">
        <v>1250</v>
      </c>
      <c r="C23" s="228"/>
      <c r="D23" s="80">
        <v>41</v>
      </c>
      <c r="E23" s="7">
        <v>88</v>
      </c>
      <c r="F23" s="7">
        <v>10.68</v>
      </c>
      <c r="G23" s="7">
        <v>3.23</v>
      </c>
      <c r="H23" s="7">
        <v>19.5</v>
      </c>
      <c r="I23" s="23">
        <f t="shared" si="0"/>
        <v>121.41000000000001</v>
      </c>
      <c r="J23" s="12">
        <f t="shared" si="1"/>
        <v>4977.8100000000004</v>
      </c>
      <c r="K23" s="228"/>
      <c r="L23" s="80">
        <v>41</v>
      </c>
      <c r="M23" s="79">
        <f t="shared" si="4"/>
        <v>1150</v>
      </c>
      <c r="N23" s="78">
        <f t="shared" si="5"/>
        <v>1610</v>
      </c>
      <c r="O23" s="75">
        <v>9450</v>
      </c>
      <c r="P23" s="75">
        <v>9450</v>
      </c>
      <c r="Q23" s="77">
        <v>9500</v>
      </c>
      <c r="R23" s="75">
        <v>9450</v>
      </c>
      <c r="S23" s="75">
        <v>9450</v>
      </c>
      <c r="T23" s="77">
        <v>9750</v>
      </c>
      <c r="U23" s="76">
        <v>10000</v>
      </c>
      <c r="V23" s="76">
        <v>8500</v>
      </c>
      <c r="W23" s="76">
        <v>8500</v>
      </c>
      <c r="X23" s="76">
        <v>10600</v>
      </c>
      <c r="Y23" s="75">
        <v>9450</v>
      </c>
      <c r="Z23" s="74">
        <v>10875</v>
      </c>
    </row>
    <row r="24" spans="1:26" x14ac:dyDescent="0.25">
      <c r="A24" s="80">
        <v>44</v>
      </c>
      <c r="B24" s="81">
        <v>1250</v>
      </c>
      <c r="C24" s="228"/>
      <c r="D24" s="80">
        <v>44</v>
      </c>
      <c r="E24" s="7">
        <v>88</v>
      </c>
      <c r="F24" s="7">
        <v>10.68</v>
      </c>
      <c r="G24" s="7">
        <v>3.23</v>
      </c>
      <c r="H24" s="7">
        <v>19.5</v>
      </c>
      <c r="I24" s="23">
        <f t="shared" si="0"/>
        <v>121.41000000000001</v>
      </c>
      <c r="J24" s="12">
        <f t="shared" si="1"/>
        <v>5342.0400000000009</v>
      </c>
      <c r="K24" s="228"/>
      <c r="L24" s="80">
        <v>41</v>
      </c>
      <c r="M24" s="79">
        <f t="shared" si="4"/>
        <v>1150</v>
      </c>
      <c r="N24" s="78">
        <f t="shared" si="5"/>
        <v>1610</v>
      </c>
      <c r="O24" s="75">
        <v>9450</v>
      </c>
      <c r="P24" s="75">
        <v>9450</v>
      </c>
      <c r="Q24" s="77">
        <v>9500</v>
      </c>
      <c r="R24" s="75">
        <v>9450</v>
      </c>
      <c r="S24" s="75">
        <v>9450</v>
      </c>
      <c r="T24" s="77">
        <v>9750</v>
      </c>
      <c r="U24" s="76">
        <v>10000</v>
      </c>
      <c r="V24" s="76">
        <v>8500</v>
      </c>
      <c r="W24" s="76">
        <v>8500</v>
      </c>
      <c r="X24" s="76">
        <v>10600</v>
      </c>
      <c r="Y24" s="75">
        <v>9450</v>
      </c>
      <c r="Z24" s="74">
        <v>10875</v>
      </c>
    </row>
    <row r="25" spans="1:26" x14ac:dyDescent="0.25">
      <c r="A25" s="80">
        <v>46</v>
      </c>
      <c r="B25" s="81">
        <v>1250</v>
      </c>
      <c r="C25" s="228"/>
      <c r="D25" s="80">
        <v>46</v>
      </c>
      <c r="E25" s="7">
        <v>88</v>
      </c>
      <c r="F25" s="7">
        <v>10.68</v>
      </c>
      <c r="G25" s="7">
        <v>3.23</v>
      </c>
      <c r="H25" s="7">
        <v>19.5</v>
      </c>
      <c r="I25" s="23">
        <f t="shared" si="0"/>
        <v>121.41000000000001</v>
      </c>
      <c r="J25" s="12">
        <f t="shared" si="1"/>
        <v>5584.8600000000006</v>
      </c>
      <c r="K25" s="228"/>
      <c r="L25" s="80">
        <v>41</v>
      </c>
      <c r="M25" s="79">
        <f t="shared" si="4"/>
        <v>1150</v>
      </c>
      <c r="N25" s="78">
        <f t="shared" si="5"/>
        <v>1610</v>
      </c>
      <c r="O25" s="75">
        <v>9450</v>
      </c>
      <c r="P25" s="75">
        <v>9450</v>
      </c>
      <c r="Q25" s="77">
        <v>9500</v>
      </c>
      <c r="R25" s="75">
        <v>9450</v>
      </c>
      <c r="S25" s="75">
        <v>9450</v>
      </c>
      <c r="T25" s="77">
        <v>9750</v>
      </c>
      <c r="U25" s="76">
        <v>10000</v>
      </c>
      <c r="V25" s="76">
        <v>8500</v>
      </c>
      <c r="W25" s="76">
        <v>8500</v>
      </c>
      <c r="X25" s="76">
        <v>10600</v>
      </c>
      <c r="Y25" s="75">
        <v>9450</v>
      </c>
      <c r="Z25" s="74">
        <v>10875</v>
      </c>
    </row>
    <row r="26" spans="1:26" x14ac:dyDescent="0.25">
      <c r="A26" s="80">
        <v>48</v>
      </c>
      <c r="B26" s="81">
        <v>1650</v>
      </c>
      <c r="C26" s="228"/>
      <c r="D26" s="80">
        <v>48</v>
      </c>
      <c r="E26" s="7">
        <v>88</v>
      </c>
      <c r="F26" s="7">
        <v>10.68</v>
      </c>
      <c r="G26" s="7">
        <v>3.23</v>
      </c>
      <c r="H26" s="7">
        <v>19.5</v>
      </c>
      <c r="I26" s="23">
        <f t="shared" si="0"/>
        <v>121.41000000000001</v>
      </c>
      <c r="J26" s="12">
        <f t="shared" si="1"/>
        <v>5827.68</v>
      </c>
      <c r="K26" s="228"/>
      <c r="L26" s="80">
        <v>48</v>
      </c>
      <c r="M26" s="79">
        <f>300*5</f>
        <v>1500</v>
      </c>
      <c r="N26" s="78">
        <f>300*7</f>
        <v>2100</v>
      </c>
      <c r="O26" s="75">
        <v>10685</v>
      </c>
      <c r="P26" s="75">
        <v>10685</v>
      </c>
      <c r="Q26" s="77">
        <v>10870</v>
      </c>
      <c r="R26" s="75">
        <v>10685</v>
      </c>
      <c r="S26" s="75">
        <v>10685</v>
      </c>
      <c r="T26" s="77">
        <v>10900</v>
      </c>
      <c r="U26" s="76">
        <v>11150</v>
      </c>
      <c r="V26" s="76">
        <v>9650</v>
      </c>
      <c r="W26" s="76">
        <v>9650</v>
      </c>
      <c r="X26" s="76">
        <v>11800</v>
      </c>
      <c r="Y26" s="75">
        <v>10685</v>
      </c>
      <c r="Z26" s="74">
        <v>12100</v>
      </c>
    </row>
    <row r="27" spans="1:26" x14ac:dyDescent="0.25">
      <c r="A27" s="80">
        <v>52</v>
      </c>
      <c r="B27" s="81">
        <v>1650</v>
      </c>
      <c r="C27" s="228"/>
      <c r="D27" s="80">
        <v>52</v>
      </c>
      <c r="E27" s="7">
        <v>88</v>
      </c>
      <c r="F27" s="7">
        <v>10.68</v>
      </c>
      <c r="G27" s="7">
        <v>3.23</v>
      </c>
      <c r="H27" s="7">
        <v>19.5</v>
      </c>
      <c r="I27" s="23">
        <f t="shared" si="0"/>
        <v>121.41000000000001</v>
      </c>
      <c r="J27" s="12">
        <f t="shared" si="1"/>
        <v>6313.3200000000006</v>
      </c>
      <c r="K27" s="228"/>
      <c r="L27" s="80">
        <v>52</v>
      </c>
      <c r="M27" s="79">
        <f>300*5</f>
        <v>1500</v>
      </c>
      <c r="N27" s="78">
        <f>300*7</f>
        <v>2100</v>
      </c>
      <c r="O27" s="75">
        <v>10685</v>
      </c>
      <c r="P27" s="75">
        <v>10685</v>
      </c>
      <c r="Q27" s="77">
        <v>10870</v>
      </c>
      <c r="R27" s="75">
        <v>10685</v>
      </c>
      <c r="S27" s="75">
        <v>10685</v>
      </c>
      <c r="T27" s="77">
        <v>10900</v>
      </c>
      <c r="U27" s="76">
        <v>11150</v>
      </c>
      <c r="V27" s="76">
        <v>9650</v>
      </c>
      <c r="W27" s="76">
        <v>9650</v>
      </c>
      <c r="X27" s="76">
        <v>11800</v>
      </c>
      <c r="Y27" s="75">
        <v>10685</v>
      </c>
      <c r="Z27" s="74">
        <v>12100</v>
      </c>
    </row>
    <row r="28" spans="1:26" x14ac:dyDescent="0.25">
      <c r="A28" s="80">
        <v>57</v>
      </c>
      <c r="B28" s="81">
        <v>1650</v>
      </c>
      <c r="C28" s="228"/>
      <c r="D28" s="80">
        <v>57</v>
      </c>
      <c r="E28" s="7">
        <v>88</v>
      </c>
      <c r="F28" s="7">
        <v>10.68</v>
      </c>
      <c r="G28" s="7">
        <v>3.23</v>
      </c>
      <c r="H28" s="7">
        <v>19.5</v>
      </c>
      <c r="I28" s="23">
        <f t="shared" si="0"/>
        <v>121.41000000000001</v>
      </c>
      <c r="J28" s="12">
        <f t="shared" si="1"/>
        <v>6920.3700000000008</v>
      </c>
      <c r="K28" s="228"/>
      <c r="L28" s="80">
        <v>57</v>
      </c>
      <c r="M28" s="79">
        <f>340*5</f>
        <v>1700</v>
      </c>
      <c r="N28" s="78">
        <f>340*7</f>
        <v>2380</v>
      </c>
      <c r="O28" s="75">
        <v>11450</v>
      </c>
      <c r="P28" s="75">
        <v>11450</v>
      </c>
      <c r="Q28" s="77">
        <v>11650</v>
      </c>
      <c r="R28" s="75">
        <v>11450</v>
      </c>
      <c r="S28" s="75">
        <v>11450</v>
      </c>
      <c r="T28" s="77">
        <v>11600</v>
      </c>
      <c r="U28" s="76">
        <v>11850</v>
      </c>
      <c r="V28" s="76">
        <v>10300</v>
      </c>
      <c r="W28" s="76">
        <v>10300</v>
      </c>
      <c r="X28" s="76">
        <v>12500</v>
      </c>
      <c r="Y28" s="75">
        <v>11450</v>
      </c>
      <c r="Z28" s="74">
        <v>12950</v>
      </c>
    </row>
    <row r="29" spans="1:26" ht="15.75" thickBot="1" x14ac:dyDescent="0.3">
      <c r="A29" s="72">
        <v>59</v>
      </c>
      <c r="B29" s="73">
        <v>1650</v>
      </c>
      <c r="C29" s="229"/>
      <c r="D29" s="72">
        <v>59</v>
      </c>
      <c r="E29" s="9">
        <v>88</v>
      </c>
      <c r="F29" s="9">
        <v>10.68</v>
      </c>
      <c r="G29" s="9">
        <v>3.23</v>
      </c>
      <c r="H29" s="9">
        <v>19.5</v>
      </c>
      <c r="I29" s="24">
        <f t="shared" si="0"/>
        <v>121.41000000000001</v>
      </c>
      <c r="J29" s="13">
        <f t="shared" si="1"/>
        <v>7163.1900000000005</v>
      </c>
      <c r="K29" s="229"/>
      <c r="L29" s="71">
        <v>59</v>
      </c>
      <c r="M29" s="70">
        <f>340*5</f>
        <v>1700</v>
      </c>
      <c r="N29" s="69">
        <f>340*7</f>
        <v>2380</v>
      </c>
      <c r="O29" s="66">
        <v>11450</v>
      </c>
      <c r="P29" s="66">
        <v>11450</v>
      </c>
      <c r="Q29" s="68">
        <v>11650</v>
      </c>
      <c r="R29" s="66">
        <v>11450</v>
      </c>
      <c r="S29" s="66">
        <v>11450</v>
      </c>
      <c r="T29" s="68">
        <v>11600</v>
      </c>
      <c r="U29" s="67">
        <v>11850</v>
      </c>
      <c r="V29" s="67">
        <v>10300</v>
      </c>
      <c r="W29" s="67">
        <v>10300</v>
      </c>
      <c r="X29" s="67">
        <v>12500</v>
      </c>
      <c r="Y29" s="66">
        <v>11450</v>
      </c>
      <c r="Z29" s="65">
        <v>12950</v>
      </c>
    </row>
    <row r="30" spans="1:26" ht="15.75" thickBot="1" x14ac:dyDescent="0.3">
      <c r="A30" s="17"/>
      <c r="B30" s="2"/>
      <c r="C30" s="18"/>
      <c r="D30" s="17"/>
      <c r="E30" s="2"/>
      <c r="F30" s="2"/>
      <c r="G30" s="2"/>
      <c r="H30" s="2"/>
      <c r="I30" s="2"/>
      <c r="J30" s="2"/>
      <c r="K30" s="18"/>
      <c r="L30" s="140" t="s">
        <v>82</v>
      </c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208"/>
    </row>
    <row r="31" spans="1:26" x14ac:dyDescent="0.25">
      <c r="A31" s="17"/>
      <c r="B31" s="2"/>
      <c r="C31" s="18"/>
      <c r="D31" s="17"/>
      <c r="E31" s="2"/>
      <c r="F31" s="19"/>
      <c r="G31" s="19"/>
      <c r="H31" s="19"/>
      <c r="I31" s="20"/>
      <c r="J31" s="2"/>
      <c r="K31" s="18"/>
      <c r="L31" s="17"/>
      <c r="M31" s="17"/>
      <c r="N31" s="17"/>
    </row>
    <row r="32" spans="1:26" ht="23.25" x14ac:dyDescent="0.35">
      <c r="A32" s="144" t="s">
        <v>19</v>
      </c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</row>
    <row r="33" spans="1:14" ht="15" customHeight="1" x14ac:dyDescent="0.3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x14ac:dyDescent="0.25">
      <c r="A34" s="5" t="s">
        <v>18</v>
      </c>
      <c r="B34" s="5"/>
      <c r="C34" s="5"/>
      <c r="D34" s="5"/>
      <c r="E34" s="5"/>
      <c r="F34" s="6"/>
      <c r="G34" s="6"/>
      <c r="H34" s="63" t="s">
        <v>31</v>
      </c>
      <c r="I34" s="6"/>
      <c r="J34" s="6"/>
      <c r="K34" s="6"/>
      <c r="L34" s="6"/>
      <c r="M34" s="6"/>
      <c r="N34" s="6"/>
    </row>
    <row r="35" spans="1:14" x14ac:dyDescent="0.25">
      <c r="A35" s="4" t="s">
        <v>16</v>
      </c>
      <c r="B35" s="5"/>
      <c r="C35" s="5"/>
      <c r="D35" s="5"/>
      <c r="E35" s="5"/>
      <c r="F35" s="6"/>
      <c r="G35" s="6"/>
      <c r="H35" t="s">
        <v>33</v>
      </c>
      <c r="I35" s="6"/>
      <c r="J35" s="6"/>
      <c r="K35" s="6"/>
      <c r="L35" s="6"/>
      <c r="M35" s="6"/>
      <c r="N35" s="6"/>
    </row>
    <row r="36" spans="1:14" x14ac:dyDescent="0.25">
      <c r="A36" s="4" t="s">
        <v>81</v>
      </c>
      <c r="H36" s="1" t="s">
        <v>2</v>
      </c>
      <c r="J36" s="3"/>
    </row>
    <row r="37" spans="1:14" x14ac:dyDescent="0.25">
      <c r="A37" s="4" t="s">
        <v>80</v>
      </c>
      <c r="H37" s="1" t="s">
        <v>79</v>
      </c>
      <c r="J37" s="3"/>
    </row>
    <row r="38" spans="1:14" x14ac:dyDescent="0.25">
      <c r="A38" s="64" t="s">
        <v>20</v>
      </c>
      <c r="H38" t="s">
        <v>78</v>
      </c>
      <c r="I38" s="2"/>
      <c r="J38" s="2"/>
    </row>
    <row r="39" spans="1:14" x14ac:dyDescent="0.25">
      <c r="A39" s="4" t="s">
        <v>22</v>
      </c>
      <c r="H39" t="s">
        <v>3</v>
      </c>
      <c r="I39" s="2"/>
      <c r="J39" s="2"/>
    </row>
    <row r="40" spans="1:14" x14ac:dyDescent="0.25">
      <c r="A40" s="4" t="s">
        <v>23</v>
      </c>
      <c r="H40" t="s">
        <v>4</v>
      </c>
    </row>
    <row r="41" spans="1:14" x14ac:dyDescent="0.25">
      <c r="A41" s="4" t="s">
        <v>77</v>
      </c>
    </row>
    <row r="42" spans="1:14" x14ac:dyDescent="0.25">
      <c r="A42" s="4" t="s">
        <v>21</v>
      </c>
      <c r="H42" s="63" t="s">
        <v>24</v>
      </c>
      <c r="I42" s="2"/>
      <c r="J42" s="2"/>
    </row>
    <row r="43" spans="1:14" x14ac:dyDescent="0.25">
      <c r="A43" s="4" t="s">
        <v>32</v>
      </c>
      <c r="H43" t="s">
        <v>25</v>
      </c>
      <c r="I43" s="2"/>
      <c r="J43" s="2"/>
    </row>
    <row r="44" spans="1:14" x14ac:dyDescent="0.25">
      <c r="A44" s="4" t="s">
        <v>37</v>
      </c>
      <c r="H44" t="s">
        <v>27</v>
      </c>
      <c r="I44" s="2"/>
      <c r="J44" s="2"/>
    </row>
    <row r="45" spans="1:14" x14ac:dyDescent="0.25">
      <c r="A45" s="4" t="s">
        <v>35</v>
      </c>
      <c r="H45" t="s">
        <v>28</v>
      </c>
      <c r="I45" s="2"/>
      <c r="J45" s="2"/>
    </row>
    <row r="46" spans="1:14" ht="15.75" thickBot="1" x14ac:dyDescent="0.3">
      <c r="H46" t="s">
        <v>39</v>
      </c>
    </row>
    <row r="47" spans="1:14" ht="15.75" thickBot="1" x14ac:dyDescent="0.3">
      <c r="A47" s="211" t="s">
        <v>76</v>
      </c>
      <c r="B47" s="212"/>
      <c r="C47" s="213"/>
    </row>
    <row r="48" spans="1:14" x14ac:dyDescent="0.25">
      <c r="A48" s="217" t="s">
        <v>75</v>
      </c>
      <c r="B48" s="218"/>
      <c r="C48" s="219"/>
    </row>
    <row r="49" spans="1:14" ht="15.75" thickBot="1" x14ac:dyDescent="0.3">
      <c r="A49" s="220" t="s">
        <v>74</v>
      </c>
      <c r="B49" s="221"/>
      <c r="C49" s="222"/>
    </row>
    <row r="50" spans="1:14" ht="15.75" thickBot="1" x14ac:dyDescent="0.3">
      <c r="A50" s="223" t="s">
        <v>73</v>
      </c>
      <c r="B50" s="224"/>
      <c r="C50" s="225"/>
    </row>
    <row r="51" spans="1:14" x14ac:dyDescent="0.25">
      <c r="A51" s="209" t="s">
        <v>26</v>
      </c>
      <c r="B51" s="209"/>
      <c r="C51" s="209"/>
      <c r="D51" s="209"/>
      <c r="E51" s="209"/>
      <c r="F51" s="209"/>
      <c r="G51" s="209"/>
      <c r="H51" s="209"/>
      <c r="I51" s="209"/>
      <c r="J51" s="209"/>
      <c r="K51" s="209"/>
      <c r="L51" s="209"/>
      <c r="M51" s="209"/>
      <c r="N51" s="209"/>
    </row>
    <row r="52" spans="1:14" x14ac:dyDescent="0.25">
      <c r="A52" s="216" t="s">
        <v>34</v>
      </c>
      <c r="B52" s="216"/>
      <c r="C52" s="216"/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</row>
    <row r="59" spans="1:14" x14ac:dyDescent="0.25">
      <c r="A59" s="1"/>
    </row>
    <row r="60" spans="1:14" x14ac:dyDescent="0.25">
      <c r="A60" s="1"/>
    </row>
    <row r="61" spans="1:14" x14ac:dyDescent="0.25">
      <c r="A61" s="1"/>
    </row>
    <row r="62" spans="1:14" x14ac:dyDescent="0.25">
      <c r="A62" s="4"/>
    </row>
  </sheetData>
  <mergeCells count="29">
    <mergeCell ref="O7:Z7"/>
    <mergeCell ref="O9:Z9"/>
    <mergeCell ref="O10:Z10"/>
    <mergeCell ref="O11:O14"/>
    <mergeCell ref="P11:P14"/>
    <mergeCell ref="Y11:Y14"/>
    <mergeCell ref="Z11:Z14"/>
    <mergeCell ref="A1:N6"/>
    <mergeCell ref="C19:C29"/>
    <mergeCell ref="A7:B7"/>
    <mergeCell ref="D7:J7"/>
    <mergeCell ref="K16:K29"/>
    <mergeCell ref="L7:N7"/>
    <mergeCell ref="L30:Z30"/>
    <mergeCell ref="A47:C47"/>
    <mergeCell ref="Q11:Q14"/>
    <mergeCell ref="A52:N52"/>
    <mergeCell ref="A51:N51"/>
    <mergeCell ref="A48:C48"/>
    <mergeCell ref="A49:C49"/>
    <mergeCell ref="A50:C50"/>
    <mergeCell ref="A32:N32"/>
    <mergeCell ref="X11:X14"/>
    <mergeCell ref="R11:R14"/>
    <mergeCell ref="S11:S14"/>
    <mergeCell ref="T11:T14"/>
    <mergeCell ref="U11:U14"/>
    <mergeCell ref="V11:V14"/>
    <mergeCell ref="W11:W14"/>
  </mergeCells>
  <pageMargins left="0.7" right="0.7" top="0.75" bottom="0.75" header="0.3" footer="0.3"/>
  <pageSetup scale="36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2026</vt:lpstr>
      <vt:lpstr>2026 (NYK)</vt:lpstr>
      <vt:lpstr>2025</vt:lpstr>
      <vt:lpstr>2024</vt:lpstr>
      <vt:lpstr>2023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Treeby</dc:creator>
  <cp:lastModifiedBy>Matt Treeby</cp:lastModifiedBy>
  <cp:lastPrinted>2020-10-27T21:14:46Z</cp:lastPrinted>
  <dcterms:created xsi:type="dcterms:W3CDTF">2019-10-27T22:37:40Z</dcterms:created>
  <dcterms:modified xsi:type="dcterms:W3CDTF">2026-02-04T03:58:38Z</dcterms:modified>
</cp:coreProperties>
</file>